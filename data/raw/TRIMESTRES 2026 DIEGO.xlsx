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yane.silva\Desktop\dados para dashboard\"/>
    </mc:Choice>
  </mc:AlternateContent>
  <bookViews>
    <workbookView xWindow="0" yWindow="0" windowWidth="24000" windowHeight="11745" activeTab="3"/>
  </bookViews>
  <sheets>
    <sheet name="FILIAL 1" sheetId="1" r:id="rId1"/>
    <sheet name="FILIAL 2" sheetId="2" r:id="rId2"/>
    <sheet name="FILIAL 3" sheetId="3" r:id="rId3"/>
    <sheet name="FILIAL 4" sheetId="4" r:id="rId4"/>
  </sheets>
  <calcPr calcId="152511"/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J2" i="4"/>
  <c r="I2" i="4"/>
  <c r="J5" i="3"/>
  <c r="J6" i="3"/>
  <c r="J7" i="3"/>
  <c r="J8" i="3"/>
  <c r="J9" i="3"/>
  <c r="J10" i="3"/>
  <c r="J13" i="3"/>
  <c r="J14" i="3"/>
  <c r="J15" i="3"/>
  <c r="J16" i="3"/>
  <c r="J2" i="3"/>
  <c r="I3" i="3"/>
  <c r="J3" i="3" s="1"/>
  <c r="I4" i="3"/>
  <c r="J4" i="3" s="1"/>
  <c r="I5" i="3"/>
  <c r="I6" i="3"/>
  <c r="I7" i="3"/>
  <c r="I8" i="3"/>
  <c r="I9" i="3"/>
  <c r="I10" i="3"/>
  <c r="I11" i="3"/>
  <c r="J11" i="3" s="1"/>
  <c r="I12" i="3"/>
  <c r="J12" i="3" s="1"/>
  <c r="I13" i="3"/>
  <c r="I14" i="3"/>
  <c r="I15" i="3"/>
  <c r="I16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I3" i="2"/>
  <c r="I4" i="2"/>
  <c r="I5" i="2"/>
  <c r="I6" i="2"/>
  <c r="I7" i="2"/>
  <c r="I8" i="2"/>
  <c r="I9" i="2"/>
  <c r="I10" i="2"/>
  <c r="I11" i="2"/>
  <c r="I12" i="2"/>
  <c r="I13" i="2"/>
  <c r="I14" i="2"/>
  <c r="J2" i="2"/>
  <c r="I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J2" i="1" s="1"/>
</calcChain>
</file>

<file path=xl/sharedStrings.xml><?xml version="1.0" encoding="utf-8"?>
<sst xmlns="http://schemas.openxmlformats.org/spreadsheetml/2006/main" count="214" uniqueCount="51">
  <si>
    <t>CODFORNEC</t>
  </si>
  <si>
    <t>FORNECEDOR</t>
  </si>
  <si>
    <t>CODCOMPRADOR</t>
  </si>
  <si>
    <t>JANEIRO</t>
  </si>
  <si>
    <t>FEVEREIRO</t>
  </si>
  <si>
    <t>MARCO</t>
  </si>
  <si>
    <t>HIGIE PLUS COTTONBABY INDUSTRIA E COMERCIO LTDA</t>
  </si>
  <si>
    <t>COTTONBABY</t>
  </si>
  <si>
    <t>CIMEX DISTRIBUIDORA COSMETICOS LTDA</t>
  </si>
  <si>
    <t>DARCO COSMETICOS</t>
  </si>
  <si>
    <t>PHITOTERAPHIA BIOFITOGENIA LABORATORIAL BIOTA LTDA</t>
  </si>
  <si>
    <t>EMBELLEZE</t>
  </si>
  <si>
    <t>EVER GREEN DO NORDESTE INDUSTRIA E COMERCIO LTDA</t>
  </si>
  <si>
    <t>EVER GREEN</t>
  </si>
  <si>
    <t>DISTRIBUIDORA DE COSMETICOS LABOREN LTDA</t>
  </si>
  <si>
    <t>LABORENE</t>
  </si>
  <si>
    <t>EXCEED COSMETICOS LTDA</t>
  </si>
  <si>
    <t>EXCEED</t>
  </si>
  <si>
    <t>PMI SOUTH AMERICA CONSUMER GOODS LTDA</t>
  </si>
  <si>
    <t>STANLEY</t>
  </si>
  <si>
    <t>PHISALIA DISTRIBUIDORA LTDA</t>
  </si>
  <si>
    <t>TRALALA</t>
  </si>
  <si>
    <t>FARMAX S.A.</t>
  </si>
  <si>
    <t>FARMAX</t>
  </si>
  <si>
    <t>INDUSTRIA DE COSMETICOS PRO CACHOS</t>
  </si>
  <si>
    <t>PRO CACHOS</t>
  </si>
  <si>
    <t>INDUSTRIA E COMERCIO DE PRODUTOS DE BELEZA YAMA LTDA</t>
  </si>
  <si>
    <t>YAMA</t>
  </si>
  <si>
    <t>LR NORDESTE S/A</t>
  </si>
  <si>
    <t>LEITE ROSAS/TALCO</t>
  </si>
  <si>
    <t>MUNDIAL DISTRIBUIDORA DE PRODUTOS DE CONSUMO LTDA</t>
  </si>
  <si>
    <t>MUNDIAL/IMPALA</t>
  </si>
  <si>
    <t>FABRICA DE ARTEFATOS DE LATEX BLOWTEX LTDA</t>
  </si>
  <si>
    <t>BLOWTEX</t>
  </si>
  <si>
    <t>DIEGO</t>
  </si>
  <si>
    <t>FILIAL</t>
  </si>
  <si>
    <t>TOTAL</t>
  </si>
  <si>
    <t xml:space="preserve"> MEDIA</t>
  </si>
  <si>
    <t>FANTASIA</t>
  </si>
  <si>
    <t>LABOTRAT INDUSTRIA DE COSMETICOS LTDA</t>
  </si>
  <si>
    <t>LABOTRAT</t>
  </si>
  <si>
    <t xml:space="preserve">TOTAL </t>
  </si>
  <si>
    <t>MEDIA</t>
  </si>
  <si>
    <t xml:space="preserve">FILIAL </t>
  </si>
  <si>
    <t>HIGIE TOPP INDUSTRIA E COM DE PROD HIGIENICOS E TEXTEIS LTDA</t>
  </si>
  <si>
    <t>COTTONLINE</t>
  </si>
  <si>
    <t xml:space="preserve">MEDIA </t>
  </si>
  <si>
    <t>TAIFF PROART DIST DE PROD DE BELEZA</t>
  </si>
  <si>
    <t>TAIFF</t>
  </si>
  <si>
    <t>MAYSTAR COSMETICA DO BRASIL LTDA</t>
  </si>
  <si>
    <t>DEPILFLAX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</si>
</sst>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righ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2" fillId="3" borderId="2" xfId="0" applyNumberFormat="1" applyFont="1" applyFill="1" applyBorder="1" applyAlignment="1" applyProtection="1">
      <alignment horizontal="left" vertical="top" wrapText="1"/>
    </xf>
    <xf numFmtId="0" fontId="2" fillId="3" borderId="3" xfId="0" applyNumberFormat="1" applyFont="1" applyFill="1" applyBorder="1" applyAlignment="1" applyProtection="1">
      <alignment horizontal="left" vertical="top" wrapText="1"/>
    </xf>
    <xf numFmtId="164" fontId="2" fillId="3" borderId="1" xfId="0" applyNumberFormat="1" applyFont="1" applyFill="1" applyBorder="1" applyAlignment="1" applyProtection="1">
      <alignment horizontal="left" vertical="top" wrapText="1"/>
    </xf>
    <xf numFmtId="164" fontId="2" fillId="2" borderId="1" xfId="0" applyNumberFormat="1" applyFont="1" applyFill="1" applyBorder="1" applyAlignment="1" applyProtection="1">
      <alignment horizontal="right" vertical="top" wrapText="1"/>
    </xf>
    <xf numFmtId="164" fontId="2" fillId="3" borderId="3" xfId="0" applyNumberFormat="1" applyFont="1" applyFill="1" applyBorder="1" applyAlignment="1" applyProtection="1">
      <alignment horizontal="left" vertical="top" wrapText="1"/>
    </xf>
    <xf numFmtId="164" fontId="1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/>
    </xf>
    <xf numFmtId="0" fontId="2" fillId="2" borderId="1" xfId="0" applyNumberFormat="1" applyFont="1" applyFill="1" applyBorder="1" applyAlignment="1" applyProtection="1">
      <alignment horizontal="right" vertical="top"/>
    </xf>
    <xf numFmtId="0" fontId="2" fillId="2" borderId="1" xfId="0" applyNumberFormat="1" applyFont="1" applyFill="1" applyBorder="1" applyAlignment="1" applyProtection="1">
      <alignment horizontal="left" vertical="top"/>
    </xf>
    <xf numFmtId="0" fontId="2" fillId="3" borderId="2" xfId="0" applyNumberFormat="1" applyFont="1" applyFill="1" applyBorder="1" applyAlignment="1" applyProtection="1">
      <alignment horizontal="left" vertical="top"/>
    </xf>
    <xf numFmtId="0" fontId="2" fillId="3" borderId="3" xfId="0" applyNumberFormat="1" applyFont="1" applyFill="1" applyBorder="1" applyAlignment="1" applyProtection="1">
      <alignment horizontal="left" vertical="top"/>
    </xf>
    <xf numFmtId="164" fontId="2" fillId="2" borderId="1" xfId="0" applyNumberFormat="1" applyFont="1" applyFill="1" applyBorder="1" applyAlignment="1" applyProtection="1">
      <alignment horizontal="right" vertical="top"/>
    </xf>
    <xf numFmtId="164" fontId="2" fillId="3" borderId="1" xfId="0" applyNumberFormat="1" applyFont="1" applyFill="1" applyBorder="1" applyAlignment="1" applyProtection="1">
      <alignment horizontal="left" vertical="top"/>
    </xf>
    <xf numFmtId="164" fontId="2" fillId="3" borderId="3" xfId="0" applyNumberFormat="1" applyFont="1" applyFill="1" applyBorder="1" applyAlignment="1" applyProtection="1">
      <alignment horizontal="left" vertical="top"/>
    </xf>
    <xf numFmtId="164" fontId="0" fillId="0" borderId="0" xfId="0" applyNumberFormat="1"/>
    <xf numFmtId="164" fontId="2" fillId="2" borderId="1" xfId="0" applyNumberFormat="1" applyFont="1" applyFill="1" applyBorder="1" applyAlignment="1" applyProtection="1">
      <alignment horizontal="left" vertical="top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C27" sqref="C27"/>
    </sheetView>
  </sheetViews>
  <sheetFormatPr defaultColWidth="12.140625" defaultRowHeight="14.25" customHeight="1" x14ac:dyDescent="0.25"/>
  <cols>
    <col min="1" max="1" width="9.85546875" style="1" customWidth="1"/>
    <col min="2" max="2" width="10.5703125" style="1" customWidth="1"/>
    <col min="3" max="3" width="45.140625" style="1" customWidth="1"/>
    <col min="4" max="4" width="15.85546875" style="1" customWidth="1"/>
    <col min="5" max="5" width="13.28515625" style="1" customWidth="1"/>
    <col min="6" max="8" width="11.28515625" style="10" bestFit="1" customWidth="1"/>
    <col min="9" max="9" width="12.7109375" style="10" bestFit="1" customWidth="1"/>
    <col min="10" max="10" width="11.28515625" style="10" bestFit="1" customWidth="1"/>
    <col min="11" max="16384" width="12.140625" style="1"/>
  </cols>
  <sheetData>
    <row r="1" spans="1:10" ht="13.5" customHeight="1" x14ac:dyDescent="0.25">
      <c r="A1" s="2" t="s">
        <v>0</v>
      </c>
      <c r="B1" s="2" t="s">
        <v>35</v>
      </c>
      <c r="C1" s="2" t="s">
        <v>1</v>
      </c>
      <c r="D1" s="2" t="s">
        <v>38</v>
      </c>
      <c r="E1" s="2" t="s">
        <v>2</v>
      </c>
      <c r="F1" s="7" t="s">
        <v>3</v>
      </c>
      <c r="G1" s="7" t="s">
        <v>4</v>
      </c>
      <c r="H1" s="7" t="s">
        <v>5</v>
      </c>
      <c r="I1" s="7" t="s">
        <v>36</v>
      </c>
      <c r="J1" s="7" t="s">
        <v>37</v>
      </c>
    </row>
    <row r="2" spans="1:10" ht="12.75" customHeight="1" x14ac:dyDescent="0.25">
      <c r="A2" s="3">
        <v>28</v>
      </c>
      <c r="B2" s="4">
        <v>1</v>
      </c>
      <c r="C2" s="4" t="s">
        <v>6</v>
      </c>
      <c r="D2" s="4" t="s">
        <v>7</v>
      </c>
      <c r="E2" s="3" t="s">
        <v>34</v>
      </c>
      <c r="F2" s="8">
        <v>89365.02</v>
      </c>
      <c r="G2" s="8">
        <v>142147.04</v>
      </c>
      <c r="H2" s="8">
        <v>158984.69</v>
      </c>
      <c r="I2" s="8">
        <f>SUM(F2:H2)</f>
        <v>390496.75</v>
      </c>
      <c r="J2" s="8">
        <f>I2/3</f>
        <v>130165.58333333333</v>
      </c>
    </row>
    <row r="3" spans="1:10" ht="12.75" customHeight="1" x14ac:dyDescent="0.25">
      <c r="A3" s="3">
        <v>2184</v>
      </c>
      <c r="B3" s="4">
        <v>1</v>
      </c>
      <c r="C3" s="4" t="s">
        <v>8</v>
      </c>
      <c r="D3" s="4" t="s">
        <v>9</v>
      </c>
      <c r="E3" s="3" t="s">
        <v>34</v>
      </c>
      <c r="F3" s="8">
        <v>428408.1</v>
      </c>
      <c r="G3" s="8">
        <v>425473.01</v>
      </c>
      <c r="H3" s="8">
        <v>719384.37</v>
      </c>
      <c r="I3" s="8">
        <f t="shared" ref="I3:I15" si="0">SUM(F3:H3)</f>
        <v>1573265.48</v>
      </c>
      <c r="J3" s="8">
        <f t="shared" ref="J3:J15" si="1">I3/3</f>
        <v>524421.82666666666</v>
      </c>
    </row>
    <row r="4" spans="1:10" ht="12.75" customHeight="1" x14ac:dyDescent="0.25">
      <c r="A4" s="3">
        <v>110</v>
      </c>
      <c r="B4" s="4">
        <v>1</v>
      </c>
      <c r="C4" s="4" t="s">
        <v>10</v>
      </c>
      <c r="D4" s="4" t="s">
        <v>11</v>
      </c>
      <c r="E4" s="3" t="s">
        <v>34</v>
      </c>
      <c r="F4" s="8">
        <v>235541.43</v>
      </c>
      <c r="G4" s="8">
        <v>383957.39</v>
      </c>
      <c r="H4" s="8">
        <v>447721.56</v>
      </c>
      <c r="I4" s="8">
        <f t="shared" si="0"/>
        <v>1067220.3800000001</v>
      </c>
      <c r="J4" s="8">
        <f t="shared" si="1"/>
        <v>355740.12666666671</v>
      </c>
    </row>
    <row r="5" spans="1:10" ht="12.75" customHeight="1" x14ac:dyDescent="0.25">
      <c r="A5" s="3">
        <v>2610</v>
      </c>
      <c r="B5" s="4">
        <v>1</v>
      </c>
      <c r="C5" s="4" t="s">
        <v>12</v>
      </c>
      <c r="D5" s="4" t="s">
        <v>13</v>
      </c>
      <c r="E5" s="3" t="s">
        <v>34</v>
      </c>
      <c r="F5" s="8">
        <v>79377.61</v>
      </c>
      <c r="G5" s="8">
        <v>38240.050000000003</v>
      </c>
      <c r="H5" s="8">
        <v>101339.4</v>
      </c>
      <c r="I5" s="8">
        <f t="shared" si="0"/>
        <v>218957.06</v>
      </c>
      <c r="J5" s="8">
        <f t="shared" si="1"/>
        <v>72985.686666666661</v>
      </c>
    </row>
    <row r="6" spans="1:10" ht="12.75" customHeight="1" x14ac:dyDescent="0.25">
      <c r="A6" s="3">
        <v>3809</v>
      </c>
      <c r="B6" s="4">
        <v>1</v>
      </c>
      <c r="C6" s="4" t="s">
        <v>14</v>
      </c>
      <c r="D6" s="4" t="s">
        <v>15</v>
      </c>
      <c r="E6" s="3" t="s">
        <v>34</v>
      </c>
      <c r="F6" s="8">
        <v>4075.68</v>
      </c>
      <c r="G6" s="8">
        <v>3864.12</v>
      </c>
      <c r="H6" s="8">
        <v>10915.66</v>
      </c>
      <c r="I6" s="8">
        <f t="shared" si="0"/>
        <v>18855.46</v>
      </c>
      <c r="J6" s="8">
        <f t="shared" si="1"/>
        <v>6285.1533333333327</v>
      </c>
    </row>
    <row r="7" spans="1:10" ht="12.75" customHeight="1" x14ac:dyDescent="0.25">
      <c r="A7" s="3">
        <v>116</v>
      </c>
      <c r="B7" s="4">
        <v>1</v>
      </c>
      <c r="C7" s="4" t="s">
        <v>16</v>
      </c>
      <c r="D7" s="4" t="s">
        <v>17</v>
      </c>
      <c r="E7" s="3" t="s">
        <v>34</v>
      </c>
      <c r="F7" s="8">
        <v>117736.27</v>
      </c>
      <c r="G7" s="8">
        <v>109043.41</v>
      </c>
      <c r="H7" s="8">
        <v>140011.9</v>
      </c>
      <c r="I7" s="8">
        <f t="shared" si="0"/>
        <v>366791.57999999996</v>
      </c>
      <c r="J7" s="8">
        <f t="shared" si="1"/>
        <v>122263.85999999999</v>
      </c>
    </row>
    <row r="8" spans="1:10" ht="12.75" customHeight="1" x14ac:dyDescent="0.25">
      <c r="A8" s="3">
        <v>3145</v>
      </c>
      <c r="B8" s="4">
        <v>1</v>
      </c>
      <c r="C8" s="4" t="s">
        <v>18</v>
      </c>
      <c r="D8" s="4" t="s">
        <v>19</v>
      </c>
      <c r="E8" s="3" t="s">
        <v>34</v>
      </c>
      <c r="F8" s="8">
        <v>17566.59</v>
      </c>
      <c r="G8" s="8">
        <v>32147.7</v>
      </c>
      <c r="H8" s="8">
        <v>4906.3900000000003</v>
      </c>
      <c r="I8" s="8">
        <f t="shared" si="0"/>
        <v>54620.68</v>
      </c>
      <c r="J8" s="8">
        <f t="shared" si="1"/>
        <v>18206.893333333333</v>
      </c>
    </row>
    <row r="9" spans="1:10" ht="12.75" customHeight="1" x14ac:dyDescent="0.25">
      <c r="A9" s="3">
        <v>2266</v>
      </c>
      <c r="B9" s="4">
        <v>1</v>
      </c>
      <c r="C9" s="4" t="s">
        <v>20</v>
      </c>
      <c r="D9" s="4" t="s">
        <v>21</v>
      </c>
      <c r="E9" s="3" t="s">
        <v>34</v>
      </c>
      <c r="F9" s="8">
        <v>46233.3</v>
      </c>
      <c r="G9" s="8">
        <v>98475.83</v>
      </c>
      <c r="H9" s="8">
        <v>63244.08</v>
      </c>
      <c r="I9" s="8">
        <f t="shared" si="0"/>
        <v>207953.21000000002</v>
      </c>
      <c r="J9" s="8">
        <f t="shared" si="1"/>
        <v>69317.736666666679</v>
      </c>
    </row>
    <row r="10" spans="1:10" ht="12.75" customHeight="1" x14ac:dyDescent="0.25">
      <c r="A10" s="3">
        <v>225</v>
      </c>
      <c r="B10" s="4">
        <v>1</v>
      </c>
      <c r="C10" s="4" t="s">
        <v>22</v>
      </c>
      <c r="D10" s="4" t="s">
        <v>23</v>
      </c>
      <c r="E10" s="3" t="s">
        <v>34</v>
      </c>
      <c r="F10" s="8">
        <v>2297.1999999999998</v>
      </c>
      <c r="G10" s="8">
        <v>2585.88</v>
      </c>
      <c r="H10" s="8">
        <v>2147.0700000000002</v>
      </c>
      <c r="I10" s="8">
        <f t="shared" si="0"/>
        <v>7030.15</v>
      </c>
      <c r="J10" s="8">
        <f t="shared" si="1"/>
        <v>2343.3833333333332</v>
      </c>
    </row>
    <row r="11" spans="1:10" ht="12.75" customHeight="1" x14ac:dyDescent="0.25">
      <c r="A11" s="3">
        <v>1037</v>
      </c>
      <c r="B11" s="4">
        <v>1</v>
      </c>
      <c r="C11" s="4" t="s">
        <v>24</v>
      </c>
      <c r="D11" s="4" t="s">
        <v>25</v>
      </c>
      <c r="E11" s="3" t="s">
        <v>34</v>
      </c>
      <c r="F11" s="8">
        <v>102477.16</v>
      </c>
      <c r="G11" s="8">
        <v>95546.73</v>
      </c>
      <c r="H11" s="8">
        <v>90258.64</v>
      </c>
      <c r="I11" s="8">
        <f t="shared" si="0"/>
        <v>288282.53000000003</v>
      </c>
      <c r="J11" s="8">
        <f t="shared" si="1"/>
        <v>96094.176666666681</v>
      </c>
    </row>
    <row r="12" spans="1:10" ht="12.75" customHeight="1" x14ac:dyDescent="0.25">
      <c r="A12" s="3">
        <v>152</v>
      </c>
      <c r="B12" s="4">
        <v>1</v>
      </c>
      <c r="C12" s="4" t="s">
        <v>26</v>
      </c>
      <c r="D12" s="4" t="s">
        <v>27</v>
      </c>
      <c r="E12" s="3" t="s">
        <v>34</v>
      </c>
      <c r="F12" s="8">
        <v>106423.8</v>
      </c>
      <c r="G12" s="8">
        <v>77144.28</v>
      </c>
      <c r="H12" s="8">
        <v>155483.82999999999</v>
      </c>
      <c r="I12" s="8">
        <f t="shared" si="0"/>
        <v>339051.91000000003</v>
      </c>
      <c r="J12" s="8">
        <f t="shared" si="1"/>
        <v>113017.30333333334</v>
      </c>
    </row>
    <row r="13" spans="1:10" ht="12.75" customHeight="1" x14ac:dyDescent="0.25">
      <c r="A13" s="3">
        <v>166</v>
      </c>
      <c r="B13" s="4">
        <v>1</v>
      </c>
      <c r="C13" s="4" t="s">
        <v>28</v>
      </c>
      <c r="D13" s="4" t="s">
        <v>29</v>
      </c>
      <c r="E13" s="3" t="s">
        <v>34</v>
      </c>
      <c r="F13" s="8">
        <v>107448.79</v>
      </c>
      <c r="G13" s="8">
        <v>208203.89</v>
      </c>
      <c r="H13" s="8">
        <v>122692.08</v>
      </c>
      <c r="I13" s="8">
        <f t="shared" si="0"/>
        <v>438344.76</v>
      </c>
      <c r="J13" s="8">
        <f t="shared" si="1"/>
        <v>146114.92000000001</v>
      </c>
    </row>
    <row r="14" spans="1:10" ht="12.75" customHeight="1" x14ac:dyDescent="0.25">
      <c r="A14" s="3">
        <v>1946</v>
      </c>
      <c r="B14" s="4">
        <v>1</v>
      </c>
      <c r="C14" s="4" t="s">
        <v>30</v>
      </c>
      <c r="D14" s="4" t="s">
        <v>31</v>
      </c>
      <c r="E14" s="3" t="s">
        <v>34</v>
      </c>
      <c r="F14" s="8">
        <v>201471.47</v>
      </c>
      <c r="G14" s="8">
        <v>176506.87</v>
      </c>
      <c r="H14" s="8">
        <v>170232.14</v>
      </c>
      <c r="I14" s="8">
        <f t="shared" si="0"/>
        <v>548210.48</v>
      </c>
      <c r="J14" s="8">
        <f t="shared" si="1"/>
        <v>182736.82666666666</v>
      </c>
    </row>
    <row r="15" spans="1:10" ht="12.75" customHeight="1" x14ac:dyDescent="0.25">
      <c r="A15" s="3">
        <v>3553</v>
      </c>
      <c r="B15" s="4">
        <v>1</v>
      </c>
      <c r="C15" s="4" t="s">
        <v>32</v>
      </c>
      <c r="D15" s="4" t="s">
        <v>33</v>
      </c>
      <c r="E15" s="3" t="s">
        <v>34</v>
      </c>
      <c r="F15" s="8">
        <v>15910.04</v>
      </c>
      <c r="G15" s="8">
        <v>19085.560000000001</v>
      </c>
      <c r="H15" s="8">
        <v>13775.39</v>
      </c>
      <c r="I15" s="8">
        <f t="shared" si="0"/>
        <v>48770.990000000005</v>
      </c>
      <c r="J15" s="8">
        <f t="shared" si="1"/>
        <v>16256.996666666668</v>
      </c>
    </row>
    <row r="16" spans="1:10" ht="12" customHeight="1" x14ac:dyDescent="0.25">
      <c r="A16" s="5"/>
      <c r="B16" s="6"/>
      <c r="C16" s="6"/>
      <c r="D16" s="6"/>
      <c r="E16" s="6"/>
      <c r="F16" s="9"/>
      <c r="G16" s="9"/>
      <c r="H16" s="9"/>
      <c r="I16" s="9"/>
      <c r="J16" s="9"/>
    </row>
  </sheetData>
  <pageMargins left="0.511811024" right="0.511811024" top="0.78740157499999996" bottom="0.78740157499999996" header="0.31496062000000002" footer="0.31496062000000002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C24" sqref="C24"/>
    </sheetView>
  </sheetViews>
  <sheetFormatPr defaultRowHeight="15" x14ac:dyDescent="0.25"/>
  <cols>
    <col min="1" max="1" width="10" bestFit="1" customWidth="1"/>
    <col min="2" max="2" width="10.7109375" bestFit="1" customWidth="1"/>
    <col min="3" max="3" width="46.5703125" bestFit="1" customWidth="1"/>
    <col min="4" max="4" width="16.140625" bestFit="1" customWidth="1"/>
    <col min="5" max="5" width="13.5703125" bestFit="1" customWidth="1"/>
    <col min="6" max="6" width="10.42578125" style="19" bestFit="1" customWidth="1"/>
    <col min="7" max="10" width="11.28515625" style="19" bestFit="1" customWidth="1"/>
  </cols>
  <sheetData>
    <row r="1" spans="1:10" x14ac:dyDescent="0.25">
      <c r="A1" s="11" t="s">
        <v>0</v>
      </c>
      <c r="B1" s="11" t="s">
        <v>43</v>
      </c>
      <c r="C1" s="11" t="s">
        <v>1</v>
      </c>
      <c r="D1" s="11" t="s">
        <v>38</v>
      </c>
      <c r="E1" s="11" t="s">
        <v>2</v>
      </c>
      <c r="F1" s="17" t="s">
        <v>3</v>
      </c>
      <c r="G1" s="17" t="s">
        <v>4</v>
      </c>
      <c r="H1" s="17" t="s">
        <v>5</v>
      </c>
      <c r="I1" s="17" t="s">
        <v>41</v>
      </c>
      <c r="J1" s="17" t="s">
        <v>42</v>
      </c>
    </row>
    <row r="2" spans="1:10" x14ac:dyDescent="0.25">
      <c r="A2" s="12">
        <v>28</v>
      </c>
      <c r="B2" s="13">
        <v>2</v>
      </c>
      <c r="C2" s="13" t="s">
        <v>6</v>
      </c>
      <c r="D2" s="13" t="s">
        <v>7</v>
      </c>
      <c r="E2" s="12" t="s">
        <v>34</v>
      </c>
      <c r="F2" s="16">
        <v>14569.94</v>
      </c>
      <c r="G2" s="16">
        <v>5671.65</v>
      </c>
      <c r="H2" s="16">
        <v>9456</v>
      </c>
      <c r="I2" s="16">
        <f>SUM(F2:H2)</f>
        <v>29697.59</v>
      </c>
      <c r="J2" s="16">
        <f>I2/3</f>
        <v>9899.1966666666667</v>
      </c>
    </row>
    <row r="3" spans="1:10" x14ac:dyDescent="0.25">
      <c r="A3" s="12">
        <v>2184</v>
      </c>
      <c r="B3" s="13">
        <v>2</v>
      </c>
      <c r="C3" s="13" t="s">
        <v>8</v>
      </c>
      <c r="D3" s="13" t="s">
        <v>9</v>
      </c>
      <c r="E3" s="12" t="s">
        <v>34</v>
      </c>
      <c r="F3" s="16">
        <v>91921.72</v>
      </c>
      <c r="G3" s="16">
        <v>110151.25</v>
      </c>
      <c r="H3" s="16">
        <v>186925.8</v>
      </c>
      <c r="I3" s="16">
        <f t="shared" ref="I3:I14" si="0">SUM(F3:H3)</f>
        <v>388998.77</v>
      </c>
      <c r="J3" s="16">
        <f t="shared" ref="J3:J14" si="1">I3/3</f>
        <v>129666.25666666667</v>
      </c>
    </row>
    <row r="4" spans="1:10" x14ac:dyDescent="0.25">
      <c r="A4" s="12">
        <v>3809</v>
      </c>
      <c r="B4" s="13">
        <v>2</v>
      </c>
      <c r="C4" s="13" t="s">
        <v>14</v>
      </c>
      <c r="D4" s="13" t="s">
        <v>15</v>
      </c>
      <c r="E4" s="12" t="s">
        <v>34</v>
      </c>
      <c r="F4" s="16">
        <v>12075.23</v>
      </c>
      <c r="G4" s="16">
        <v>9902.49</v>
      </c>
      <c r="H4" s="16">
        <v>10398.24</v>
      </c>
      <c r="I4" s="16">
        <f t="shared" si="0"/>
        <v>32375.96</v>
      </c>
      <c r="J4" s="16">
        <f t="shared" si="1"/>
        <v>10791.986666666666</v>
      </c>
    </row>
    <row r="5" spans="1:10" x14ac:dyDescent="0.25">
      <c r="A5" s="12">
        <v>2610</v>
      </c>
      <c r="B5" s="13">
        <v>2</v>
      </c>
      <c r="C5" s="13" t="s">
        <v>12</v>
      </c>
      <c r="D5" s="13" t="s">
        <v>13</v>
      </c>
      <c r="E5" s="12" t="s">
        <v>34</v>
      </c>
      <c r="F5" s="16">
        <v>10049.39</v>
      </c>
      <c r="G5" s="16">
        <v>5530.62</v>
      </c>
      <c r="H5" s="16">
        <v>5280.22</v>
      </c>
      <c r="I5" s="16">
        <f t="shared" si="0"/>
        <v>20860.23</v>
      </c>
      <c r="J5" s="16">
        <f t="shared" si="1"/>
        <v>6953.41</v>
      </c>
    </row>
    <row r="6" spans="1:10" x14ac:dyDescent="0.25">
      <c r="A6" s="12">
        <v>110</v>
      </c>
      <c r="B6" s="13">
        <v>2</v>
      </c>
      <c r="C6" s="13" t="s">
        <v>10</v>
      </c>
      <c r="D6" s="13" t="s">
        <v>11</v>
      </c>
      <c r="E6" s="12" t="s">
        <v>34</v>
      </c>
      <c r="F6" s="16">
        <v>93068.96</v>
      </c>
      <c r="G6" s="16">
        <v>142712.73000000001</v>
      </c>
      <c r="H6" s="16">
        <v>150193.41</v>
      </c>
      <c r="I6" s="16">
        <f t="shared" si="0"/>
        <v>385975.1</v>
      </c>
      <c r="J6" s="16">
        <f t="shared" si="1"/>
        <v>128658.36666666665</v>
      </c>
    </row>
    <row r="7" spans="1:10" x14ac:dyDescent="0.25">
      <c r="A7" s="12">
        <v>116</v>
      </c>
      <c r="B7" s="13">
        <v>2</v>
      </c>
      <c r="C7" s="13" t="s">
        <v>16</v>
      </c>
      <c r="D7" s="13" t="s">
        <v>17</v>
      </c>
      <c r="E7" s="12" t="s">
        <v>34</v>
      </c>
      <c r="F7" s="16">
        <v>45708.83</v>
      </c>
      <c r="G7" s="16">
        <v>23423.02</v>
      </c>
      <c r="H7" s="16">
        <v>9776.2999999999993</v>
      </c>
      <c r="I7" s="16">
        <f t="shared" si="0"/>
        <v>78908.150000000009</v>
      </c>
      <c r="J7" s="16">
        <f t="shared" si="1"/>
        <v>26302.716666666671</v>
      </c>
    </row>
    <row r="8" spans="1:10" x14ac:dyDescent="0.25">
      <c r="A8" s="12">
        <v>2266</v>
      </c>
      <c r="B8" s="13">
        <v>2</v>
      </c>
      <c r="C8" s="13" t="s">
        <v>20</v>
      </c>
      <c r="D8" s="13" t="s">
        <v>21</v>
      </c>
      <c r="E8" s="12" t="s">
        <v>34</v>
      </c>
      <c r="F8" s="16">
        <v>40570.959999999999</v>
      </c>
      <c r="G8" s="16">
        <v>22311.73</v>
      </c>
      <c r="H8" s="16">
        <v>26182.07</v>
      </c>
      <c r="I8" s="16">
        <f t="shared" si="0"/>
        <v>89064.760000000009</v>
      </c>
      <c r="J8" s="16">
        <f t="shared" si="1"/>
        <v>29688.253333333338</v>
      </c>
    </row>
    <row r="9" spans="1:10" x14ac:dyDescent="0.25">
      <c r="A9" s="12">
        <v>3145</v>
      </c>
      <c r="B9" s="13">
        <v>2</v>
      </c>
      <c r="C9" s="13" t="s">
        <v>18</v>
      </c>
      <c r="D9" s="13" t="s">
        <v>19</v>
      </c>
      <c r="E9" s="12" t="s">
        <v>34</v>
      </c>
      <c r="F9" s="16">
        <v>0</v>
      </c>
      <c r="G9" s="16">
        <v>0</v>
      </c>
      <c r="H9" s="16">
        <v>0</v>
      </c>
      <c r="I9" s="16">
        <f t="shared" si="0"/>
        <v>0</v>
      </c>
      <c r="J9" s="16">
        <f t="shared" si="1"/>
        <v>0</v>
      </c>
    </row>
    <row r="10" spans="1:10" x14ac:dyDescent="0.25">
      <c r="A10" s="12">
        <v>3524</v>
      </c>
      <c r="B10" s="13">
        <v>2</v>
      </c>
      <c r="C10" s="13" t="s">
        <v>39</v>
      </c>
      <c r="D10" s="13" t="s">
        <v>40</v>
      </c>
      <c r="E10" s="12" t="s">
        <v>34</v>
      </c>
      <c r="F10" s="16">
        <v>258.86</v>
      </c>
      <c r="G10" s="16">
        <v>1010.24</v>
      </c>
      <c r="H10" s="16">
        <v>497.28</v>
      </c>
      <c r="I10" s="16">
        <f t="shared" si="0"/>
        <v>1766.3799999999999</v>
      </c>
      <c r="J10" s="16">
        <f t="shared" si="1"/>
        <v>588.79333333333329</v>
      </c>
    </row>
    <row r="11" spans="1:10" x14ac:dyDescent="0.25">
      <c r="A11" s="12">
        <v>152</v>
      </c>
      <c r="B11" s="13">
        <v>2</v>
      </c>
      <c r="C11" s="13" t="s">
        <v>26</v>
      </c>
      <c r="D11" s="13" t="s">
        <v>27</v>
      </c>
      <c r="E11" s="12" t="s">
        <v>34</v>
      </c>
      <c r="F11" s="16">
        <v>34318.519999999997</v>
      </c>
      <c r="G11" s="16">
        <v>24018.74</v>
      </c>
      <c r="H11" s="16">
        <v>39404.04</v>
      </c>
      <c r="I11" s="16">
        <f t="shared" si="0"/>
        <v>97741.299999999988</v>
      </c>
      <c r="J11" s="16">
        <f t="shared" si="1"/>
        <v>32580.433333333331</v>
      </c>
    </row>
    <row r="12" spans="1:10" x14ac:dyDescent="0.25">
      <c r="A12" s="12">
        <v>166</v>
      </c>
      <c r="B12" s="13">
        <v>2</v>
      </c>
      <c r="C12" s="13" t="s">
        <v>28</v>
      </c>
      <c r="D12" s="13" t="s">
        <v>29</v>
      </c>
      <c r="E12" s="12" t="s">
        <v>34</v>
      </c>
      <c r="F12" s="16">
        <v>20109.09</v>
      </c>
      <c r="G12" s="16">
        <v>26905.16</v>
      </c>
      <c r="H12" s="16">
        <v>15415.07</v>
      </c>
      <c r="I12" s="16">
        <f t="shared" si="0"/>
        <v>62429.32</v>
      </c>
      <c r="J12" s="16">
        <f t="shared" si="1"/>
        <v>20809.773333333334</v>
      </c>
    </row>
    <row r="13" spans="1:10" x14ac:dyDescent="0.25">
      <c r="A13" s="12">
        <v>1946</v>
      </c>
      <c r="B13" s="13">
        <v>2</v>
      </c>
      <c r="C13" s="13" t="s">
        <v>30</v>
      </c>
      <c r="D13" s="13" t="s">
        <v>31</v>
      </c>
      <c r="E13" s="12" t="s">
        <v>34</v>
      </c>
      <c r="F13" s="16">
        <v>96304.83</v>
      </c>
      <c r="G13" s="16">
        <v>75077.91</v>
      </c>
      <c r="H13" s="16">
        <v>62460.47</v>
      </c>
      <c r="I13" s="16">
        <f t="shared" si="0"/>
        <v>233843.21</v>
      </c>
      <c r="J13" s="16">
        <f t="shared" si="1"/>
        <v>77947.736666666664</v>
      </c>
    </row>
    <row r="14" spans="1:10" x14ac:dyDescent="0.25">
      <c r="A14" s="12">
        <v>3553</v>
      </c>
      <c r="B14" s="13">
        <v>2</v>
      </c>
      <c r="C14" s="13" t="s">
        <v>32</v>
      </c>
      <c r="D14" s="13" t="s">
        <v>33</v>
      </c>
      <c r="E14" s="12" t="s">
        <v>34</v>
      </c>
      <c r="F14" s="16">
        <v>1335.89</v>
      </c>
      <c r="G14" s="16">
        <v>1906.24</v>
      </c>
      <c r="H14" s="16">
        <v>2074.6999999999998</v>
      </c>
      <c r="I14" s="16">
        <f t="shared" si="0"/>
        <v>5316.83</v>
      </c>
      <c r="J14" s="16">
        <f t="shared" si="1"/>
        <v>1772.2766666666666</v>
      </c>
    </row>
    <row r="15" spans="1:10" x14ac:dyDescent="0.25">
      <c r="A15" s="14"/>
      <c r="B15" s="15"/>
      <c r="C15" s="15"/>
      <c r="D15" s="15"/>
      <c r="E15" s="15"/>
      <c r="F15" s="18"/>
      <c r="G15" s="18"/>
      <c r="H15" s="18"/>
      <c r="I15" s="18"/>
      <c r="J15" s="1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C27" sqref="C27"/>
    </sheetView>
  </sheetViews>
  <sheetFormatPr defaultRowHeight="15" x14ac:dyDescent="0.25"/>
  <cols>
    <col min="1" max="1" width="10" bestFit="1" customWidth="1"/>
    <col min="2" max="2" width="10.7109375" bestFit="1" customWidth="1"/>
    <col min="3" max="3" width="51" bestFit="1" customWidth="1"/>
    <col min="4" max="4" width="16.140625" bestFit="1" customWidth="1"/>
    <col min="5" max="5" width="13.5703125" bestFit="1" customWidth="1"/>
    <col min="6" max="8" width="10.42578125" style="21" bestFit="1" customWidth="1"/>
    <col min="9" max="10" width="10.42578125" style="21" customWidth="1"/>
  </cols>
  <sheetData>
    <row r="1" spans="1:10" x14ac:dyDescent="0.25">
      <c r="A1" s="11" t="s">
        <v>0</v>
      </c>
      <c r="B1" s="11" t="s">
        <v>35</v>
      </c>
      <c r="C1" s="11" t="s">
        <v>1</v>
      </c>
      <c r="D1" s="11" t="s">
        <v>38</v>
      </c>
      <c r="E1" s="11" t="s">
        <v>2</v>
      </c>
      <c r="F1" s="17" t="s">
        <v>3</v>
      </c>
      <c r="G1" s="17" t="s">
        <v>4</v>
      </c>
      <c r="H1" s="17" t="s">
        <v>5</v>
      </c>
      <c r="I1" s="17" t="s">
        <v>36</v>
      </c>
      <c r="J1" s="17" t="s">
        <v>46</v>
      </c>
    </row>
    <row r="2" spans="1:10" x14ac:dyDescent="0.25">
      <c r="A2" s="12">
        <v>28</v>
      </c>
      <c r="B2" s="13">
        <v>3</v>
      </c>
      <c r="C2" s="13" t="s">
        <v>6</v>
      </c>
      <c r="D2" s="13" t="s">
        <v>7</v>
      </c>
      <c r="E2" s="12" t="s">
        <v>34</v>
      </c>
      <c r="F2" s="20">
        <v>3806.380013</v>
      </c>
      <c r="G2" s="20">
        <v>4617.1500509999996</v>
      </c>
      <c r="H2" s="20">
        <v>4672.8500240000003</v>
      </c>
      <c r="I2" s="20">
        <f>SUM(F2:H2)</f>
        <v>13096.380087999998</v>
      </c>
      <c r="J2" s="20">
        <f>I2/3</f>
        <v>4365.4600293333324</v>
      </c>
    </row>
    <row r="3" spans="1:10" x14ac:dyDescent="0.25">
      <c r="A3" s="12">
        <v>2184</v>
      </c>
      <c r="B3" s="13">
        <v>3</v>
      </c>
      <c r="C3" s="13" t="s">
        <v>8</v>
      </c>
      <c r="D3" s="13" t="s">
        <v>9</v>
      </c>
      <c r="E3" s="12" t="s">
        <v>34</v>
      </c>
      <c r="F3" s="20">
        <v>16386.669996000001</v>
      </c>
      <c r="G3" s="20">
        <v>12175.419980999999</v>
      </c>
      <c r="H3" s="20">
        <v>11489.360003</v>
      </c>
      <c r="I3" s="20">
        <f t="shared" ref="I3:I16" si="0">SUM(F3:H3)</f>
        <v>40051.449979999998</v>
      </c>
      <c r="J3" s="20">
        <f t="shared" ref="J3:J16" si="1">I3/3</f>
        <v>13350.483326666666</v>
      </c>
    </row>
    <row r="4" spans="1:10" x14ac:dyDescent="0.25">
      <c r="A4" s="12">
        <v>110</v>
      </c>
      <c r="B4" s="13">
        <v>3</v>
      </c>
      <c r="C4" s="13" t="s">
        <v>10</v>
      </c>
      <c r="D4" s="13" t="s">
        <v>11</v>
      </c>
      <c r="E4" s="12" t="s">
        <v>34</v>
      </c>
      <c r="F4" s="20">
        <v>11813.899971999999</v>
      </c>
      <c r="G4" s="20">
        <v>10733.459992</v>
      </c>
      <c r="H4" s="20">
        <v>11751.949955</v>
      </c>
      <c r="I4" s="20">
        <f t="shared" si="0"/>
        <v>34299.309918999999</v>
      </c>
      <c r="J4" s="20">
        <f t="shared" si="1"/>
        <v>11433.103306333333</v>
      </c>
    </row>
    <row r="5" spans="1:10" x14ac:dyDescent="0.25">
      <c r="A5" s="12">
        <v>2610</v>
      </c>
      <c r="B5" s="13">
        <v>3</v>
      </c>
      <c r="C5" s="13" t="s">
        <v>12</v>
      </c>
      <c r="D5" s="13" t="s">
        <v>13</v>
      </c>
      <c r="E5" s="12" t="s">
        <v>34</v>
      </c>
      <c r="F5" s="20">
        <v>5087.3699649999999</v>
      </c>
      <c r="G5" s="20">
        <v>4185.6400000000003</v>
      </c>
      <c r="H5" s="20">
        <v>1230.3500100000001</v>
      </c>
      <c r="I5" s="20">
        <f t="shared" si="0"/>
        <v>10503.359975000001</v>
      </c>
      <c r="J5" s="20">
        <f t="shared" si="1"/>
        <v>3501.1199916666669</v>
      </c>
    </row>
    <row r="6" spans="1:10" x14ac:dyDescent="0.25">
      <c r="A6" s="12">
        <v>116</v>
      </c>
      <c r="B6" s="13">
        <v>3</v>
      </c>
      <c r="C6" s="13" t="s">
        <v>16</v>
      </c>
      <c r="D6" s="13" t="s">
        <v>17</v>
      </c>
      <c r="E6" s="12" t="s">
        <v>34</v>
      </c>
      <c r="F6" s="20">
        <v>15838.359947000001</v>
      </c>
      <c r="G6" s="20">
        <v>11248.809948</v>
      </c>
      <c r="H6" s="20">
        <v>10428.509903</v>
      </c>
      <c r="I6" s="20">
        <f t="shared" si="0"/>
        <v>37515.679797999997</v>
      </c>
      <c r="J6" s="20">
        <f t="shared" si="1"/>
        <v>12505.226599333333</v>
      </c>
    </row>
    <row r="7" spans="1:10" x14ac:dyDescent="0.25">
      <c r="A7" s="12">
        <v>225</v>
      </c>
      <c r="B7" s="13">
        <v>3</v>
      </c>
      <c r="C7" s="13" t="s">
        <v>22</v>
      </c>
      <c r="D7" s="13" t="s">
        <v>23</v>
      </c>
      <c r="E7" s="12" t="s">
        <v>34</v>
      </c>
      <c r="F7" s="20">
        <v>508.48</v>
      </c>
      <c r="G7" s="20">
        <v>0</v>
      </c>
      <c r="H7" s="20">
        <v>0</v>
      </c>
      <c r="I7" s="20">
        <f t="shared" si="0"/>
        <v>508.48</v>
      </c>
      <c r="J7" s="20">
        <f t="shared" si="1"/>
        <v>169.49333333333334</v>
      </c>
    </row>
    <row r="8" spans="1:10" x14ac:dyDescent="0.25">
      <c r="A8" s="12">
        <v>2266</v>
      </c>
      <c r="B8" s="13">
        <v>3</v>
      </c>
      <c r="C8" s="13" t="s">
        <v>20</v>
      </c>
      <c r="D8" s="13" t="s">
        <v>21</v>
      </c>
      <c r="E8" s="12" t="s">
        <v>34</v>
      </c>
      <c r="F8" s="20">
        <v>4820.7199739999996</v>
      </c>
      <c r="G8" s="20">
        <v>2658.849999</v>
      </c>
      <c r="H8" s="20">
        <v>4458.6999839999999</v>
      </c>
      <c r="I8" s="20">
        <f t="shared" si="0"/>
        <v>11938.269957</v>
      </c>
      <c r="J8" s="20">
        <f t="shared" si="1"/>
        <v>3979.423319</v>
      </c>
    </row>
    <row r="9" spans="1:10" x14ac:dyDescent="0.25">
      <c r="A9" s="12">
        <v>3145</v>
      </c>
      <c r="B9" s="13">
        <v>3</v>
      </c>
      <c r="C9" s="13" t="s">
        <v>18</v>
      </c>
      <c r="D9" s="13" t="s">
        <v>19</v>
      </c>
      <c r="E9" s="12" t="s">
        <v>34</v>
      </c>
      <c r="F9" s="20">
        <v>419.59</v>
      </c>
      <c r="G9" s="20">
        <v>0</v>
      </c>
      <c r="H9" s="20">
        <v>309.76</v>
      </c>
      <c r="I9" s="20">
        <f t="shared" si="0"/>
        <v>729.34999999999991</v>
      </c>
      <c r="J9" s="20">
        <f t="shared" si="1"/>
        <v>243.11666666666665</v>
      </c>
    </row>
    <row r="10" spans="1:10" x14ac:dyDescent="0.25">
      <c r="A10" s="12">
        <v>166</v>
      </c>
      <c r="B10" s="13">
        <v>3</v>
      </c>
      <c r="C10" s="13" t="s">
        <v>28</v>
      </c>
      <c r="D10" s="13" t="s">
        <v>29</v>
      </c>
      <c r="E10" s="12" t="s">
        <v>34</v>
      </c>
      <c r="F10" s="20">
        <v>2933.139936</v>
      </c>
      <c r="G10" s="20">
        <v>3845.8400529999999</v>
      </c>
      <c r="H10" s="20">
        <v>4420.939942</v>
      </c>
      <c r="I10" s="20">
        <f t="shared" si="0"/>
        <v>11199.919931</v>
      </c>
      <c r="J10" s="20">
        <f t="shared" si="1"/>
        <v>3733.3066436666668</v>
      </c>
    </row>
    <row r="11" spans="1:10" x14ac:dyDescent="0.25">
      <c r="A11" s="12">
        <v>152</v>
      </c>
      <c r="B11" s="13">
        <v>3</v>
      </c>
      <c r="C11" s="13" t="s">
        <v>26</v>
      </c>
      <c r="D11" s="13" t="s">
        <v>27</v>
      </c>
      <c r="E11" s="12" t="s">
        <v>34</v>
      </c>
      <c r="F11" s="20">
        <v>11503.780000999999</v>
      </c>
      <c r="G11" s="20">
        <v>9074.1400040000008</v>
      </c>
      <c r="H11" s="20">
        <v>22601.570049000002</v>
      </c>
      <c r="I11" s="20">
        <f t="shared" si="0"/>
        <v>43179.490054000002</v>
      </c>
      <c r="J11" s="20">
        <f t="shared" si="1"/>
        <v>14393.163351333335</v>
      </c>
    </row>
    <row r="12" spans="1:10" x14ac:dyDescent="0.25">
      <c r="A12" s="12">
        <v>1037</v>
      </c>
      <c r="B12" s="13">
        <v>3</v>
      </c>
      <c r="C12" s="13" t="s">
        <v>24</v>
      </c>
      <c r="D12" s="13" t="s">
        <v>25</v>
      </c>
      <c r="E12" s="12" t="s">
        <v>34</v>
      </c>
      <c r="F12" s="20">
        <v>8131.3400220000003</v>
      </c>
      <c r="G12" s="20">
        <v>8738.1999919999998</v>
      </c>
      <c r="H12" s="20">
        <v>6496.1299909999998</v>
      </c>
      <c r="I12" s="20">
        <f t="shared" si="0"/>
        <v>23365.670005</v>
      </c>
      <c r="J12" s="20">
        <f t="shared" si="1"/>
        <v>7788.5566683333336</v>
      </c>
    </row>
    <row r="13" spans="1:10" x14ac:dyDescent="0.25">
      <c r="A13" s="12">
        <v>3590</v>
      </c>
      <c r="B13" s="13">
        <v>3</v>
      </c>
      <c r="C13" s="13" t="s">
        <v>44</v>
      </c>
      <c r="D13" s="13" t="s">
        <v>45</v>
      </c>
      <c r="E13" s="12" t="s">
        <v>34</v>
      </c>
      <c r="F13" s="20">
        <v>1479.3900169999999</v>
      </c>
      <c r="G13" s="20">
        <v>1412.120005</v>
      </c>
      <c r="H13" s="20">
        <v>901.96001000000001</v>
      </c>
      <c r="I13" s="20">
        <f t="shared" si="0"/>
        <v>3793.4700320000002</v>
      </c>
      <c r="J13" s="20">
        <f t="shared" si="1"/>
        <v>1264.4900106666666</v>
      </c>
    </row>
    <row r="14" spans="1:10" x14ac:dyDescent="0.25">
      <c r="A14" s="12">
        <v>3524</v>
      </c>
      <c r="B14" s="13">
        <v>3</v>
      </c>
      <c r="C14" s="13" t="s">
        <v>39</v>
      </c>
      <c r="D14" s="13" t="s">
        <v>40</v>
      </c>
      <c r="E14" s="12" t="s">
        <v>34</v>
      </c>
      <c r="F14" s="20">
        <v>62.04</v>
      </c>
      <c r="G14" s="20">
        <v>49.61</v>
      </c>
      <c r="H14" s="20">
        <v>117.89</v>
      </c>
      <c r="I14" s="20">
        <f t="shared" si="0"/>
        <v>229.54000000000002</v>
      </c>
      <c r="J14" s="20">
        <f t="shared" si="1"/>
        <v>76.513333333333335</v>
      </c>
    </row>
    <row r="15" spans="1:10" x14ac:dyDescent="0.25">
      <c r="A15" s="12">
        <v>1946</v>
      </c>
      <c r="B15" s="13">
        <v>3</v>
      </c>
      <c r="C15" s="13" t="s">
        <v>30</v>
      </c>
      <c r="D15" s="13" t="s">
        <v>31</v>
      </c>
      <c r="E15" s="12" t="s">
        <v>34</v>
      </c>
      <c r="F15" s="20">
        <v>11387.990019000001</v>
      </c>
      <c r="G15" s="20">
        <v>9971.1998590000003</v>
      </c>
      <c r="H15" s="20">
        <v>14033.450091999999</v>
      </c>
      <c r="I15" s="20">
        <f t="shared" si="0"/>
        <v>35392.639970000004</v>
      </c>
      <c r="J15" s="20">
        <f t="shared" si="1"/>
        <v>11797.546656666667</v>
      </c>
    </row>
    <row r="16" spans="1:10" x14ac:dyDescent="0.25">
      <c r="A16" s="12">
        <v>3553</v>
      </c>
      <c r="B16" s="13">
        <v>3</v>
      </c>
      <c r="C16" s="13" t="s">
        <v>32</v>
      </c>
      <c r="D16" s="13" t="s">
        <v>33</v>
      </c>
      <c r="E16" s="12" t="s">
        <v>34</v>
      </c>
      <c r="F16" s="20">
        <v>113.56000299999999</v>
      </c>
      <c r="G16" s="20">
        <v>175.57</v>
      </c>
      <c r="H16" s="20">
        <v>55.23</v>
      </c>
      <c r="I16" s="20">
        <f t="shared" si="0"/>
        <v>344.36000300000001</v>
      </c>
      <c r="J16" s="20">
        <f t="shared" si="1"/>
        <v>114.78666766666667</v>
      </c>
    </row>
    <row r="17" spans="1:10" x14ac:dyDescent="0.25">
      <c r="A17" s="14"/>
      <c r="B17" s="15"/>
      <c r="C17" s="15"/>
      <c r="D17" s="15"/>
      <c r="E17" s="15"/>
      <c r="F17" s="18"/>
      <c r="G17" s="18"/>
      <c r="H17" s="18"/>
      <c r="I17" s="18"/>
      <c r="J17" s="1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C24" sqref="C24"/>
    </sheetView>
  </sheetViews>
  <sheetFormatPr defaultRowHeight="15" x14ac:dyDescent="0.25"/>
  <cols>
    <col min="1" max="1" width="10" bestFit="1" customWidth="1"/>
    <col min="2" max="2" width="10.7109375" bestFit="1" customWidth="1"/>
    <col min="3" max="3" width="51.28515625" customWidth="1"/>
    <col min="4" max="4" width="16.140625" bestFit="1" customWidth="1"/>
    <col min="5" max="5" width="13.5703125" bestFit="1" customWidth="1"/>
    <col min="6" max="10" width="11.28515625" style="19" bestFit="1" customWidth="1"/>
  </cols>
  <sheetData>
    <row r="1" spans="1:10" x14ac:dyDescent="0.25">
      <c r="A1" s="11" t="s">
        <v>0</v>
      </c>
      <c r="B1" s="11" t="s">
        <v>35</v>
      </c>
      <c r="C1" s="11" t="s">
        <v>1</v>
      </c>
      <c r="D1" s="11" t="s">
        <v>38</v>
      </c>
      <c r="E1" s="11" t="s">
        <v>2</v>
      </c>
      <c r="F1" s="17" t="s">
        <v>3</v>
      </c>
      <c r="G1" s="17" t="s">
        <v>4</v>
      </c>
      <c r="H1" s="17" t="s">
        <v>5</v>
      </c>
      <c r="I1" s="17" t="s">
        <v>36</v>
      </c>
      <c r="J1" s="17" t="s">
        <v>42</v>
      </c>
    </row>
    <row r="2" spans="1:10" x14ac:dyDescent="0.25">
      <c r="A2" s="12">
        <v>28</v>
      </c>
      <c r="B2" s="13">
        <v>4</v>
      </c>
      <c r="C2" s="13" t="s">
        <v>6</v>
      </c>
      <c r="D2" s="13" t="s">
        <v>7</v>
      </c>
      <c r="E2" s="12" t="s">
        <v>34</v>
      </c>
      <c r="F2" s="16">
        <v>40994.25</v>
      </c>
      <c r="G2" s="16">
        <v>29028.799999999999</v>
      </c>
      <c r="H2" s="16">
        <v>51348.6</v>
      </c>
      <c r="I2" s="16">
        <f>SUM(F2:H2)</f>
        <v>121371.65</v>
      </c>
      <c r="J2" s="16">
        <f>I2/3</f>
        <v>40457.216666666667</v>
      </c>
    </row>
    <row r="3" spans="1:10" x14ac:dyDescent="0.25">
      <c r="A3" s="12">
        <v>2184</v>
      </c>
      <c r="B3" s="13">
        <v>4</v>
      </c>
      <c r="C3" s="13" t="s">
        <v>8</v>
      </c>
      <c r="D3" s="13" t="s">
        <v>9</v>
      </c>
      <c r="E3" s="12" t="s">
        <v>34</v>
      </c>
      <c r="F3" s="16">
        <v>207816.74</v>
      </c>
      <c r="G3" s="16">
        <v>88131.85</v>
      </c>
      <c r="H3" s="16">
        <v>184350.86</v>
      </c>
      <c r="I3" s="16">
        <f t="shared" ref="I3:I17" si="0">SUM(F3:H3)</f>
        <v>480299.44999999995</v>
      </c>
      <c r="J3" s="16">
        <f t="shared" ref="J3:J17" si="1">I3/3</f>
        <v>160099.81666666665</v>
      </c>
    </row>
    <row r="4" spans="1:10" x14ac:dyDescent="0.25">
      <c r="A4" s="12">
        <v>2610</v>
      </c>
      <c r="B4" s="13">
        <v>4</v>
      </c>
      <c r="C4" s="13" t="s">
        <v>12</v>
      </c>
      <c r="D4" s="13" t="s">
        <v>13</v>
      </c>
      <c r="E4" s="12" t="s">
        <v>34</v>
      </c>
      <c r="F4" s="16">
        <v>89631.92</v>
      </c>
      <c r="G4" s="16">
        <v>8706.67</v>
      </c>
      <c r="H4" s="16">
        <v>107289.08</v>
      </c>
      <c r="I4" s="16">
        <f t="shared" si="0"/>
        <v>205627.66999999998</v>
      </c>
      <c r="J4" s="16">
        <f t="shared" si="1"/>
        <v>68542.556666666656</v>
      </c>
    </row>
    <row r="5" spans="1:10" x14ac:dyDescent="0.25">
      <c r="A5" s="12">
        <v>110</v>
      </c>
      <c r="B5" s="13">
        <v>4</v>
      </c>
      <c r="C5" s="13" t="s">
        <v>10</v>
      </c>
      <c r="D5" s="13" t="s">
        <v>11</v>
      </c>
      <c r="E5" s="12" t="s">
        <v>34</v>
      </c>
      <c r="F5" s="16">
        <v>125066.33</v>
      </c>
      <c r="G5" s="16">
        <v>141388.29</v>
      </c>
      <c r="H5" s="16">
        <v>164187.79999999999</v>
      </c>
      <c r="I5" s="16">
        <f t="shared" si="0"/>
        <v>430642.42</v>
      </c>
      <c r="J5" s="16">
        <f t="shared" si="1"/>
        <v>143547.47333333333</v>
      </c>
    </row>
    <row r="6" spans="1:10" x14ac:dyDescent="0.25">
      <c r="A6" s="12">
        <v>3809</v>
      </c>
      <c r="B6" s="13">
        <v>4</v>
      </c>
      <c r="C6" s="13" t="s">
        <v>14</v>
      </c>
      <c r="D6" s="13" t="s">
        <v>15</v>
      </c>
      <c r="E6" s="12" t="s">
        <v>34</v>
      </c>
      <c r="F6" s="16">
        <v>16515.810000000001</v>
      </c>
      <c r="G6" s="16">
        <v>15631.82</v>
      </c>
      <c r="H6" s="16">
        <v>21938.41</v>
      </c>
      <c r="I6" s="16">
        <f t="shared" si="0"/>
        <v>54086.04</v>
      </c>
      <c r="J6" s="16">
        <f t="shared" si="1"/>
        <v>18028.68</v>
      </c>
    </row>
    <row r="7" spans="1:10" x14ac:dyDescent="0.25">
      <c r="A7" s="12">
        <v>116</v>
      </c>
      <c r="B7" s="13">
        <v>4</v>
      </c>
      <c r="C7" s="13" t="s">
        <v>16</v>
      </c>
      <c r="D7" s="13" t="s">
        <v>17</v>
      </c>
      <c r="E7" s="12" t="s">
        <v>34</v>
      </c>
      <c r="F7" s="16">
        <v>66968.639999999999</v>
      </c>
      <c r="G7" s="16">
        <v>25199.47</v>
      </c>
      <c r="H7" s="16">
        <v>22588.05</v>
      </c>
      <c r="I7" s="16">
        <f t="shared" si="0"/>
        <v>114756.16</v>
      </c>
      <c r="J7" s="16">
        <f t="shared" si="1"/>
        <v>38252.053333333337</v>
      </c>
    </row>
    <row r="8" spans="1:10" x14ac:dyDescent="0.25">
      <c r="A8" s="12">
        <v>2483</v>
      </c>
      <c r="B8" s="13">
        <v>4</v>
      </c>
      <c r="C8" s="13" t="s">
        <v>47</v>
      </c>
      <c r="D8" s="13" t="s">
        <v>48</v>
      </c>
      <c r="E8" s="12" t="s">
        <v>34</v>
      </c>
      <c r="F8" s="16">
        <v>1535.81</v>
      </c>
      <c r="G8" s="16">
        <v>436.42</v>
      </c>
      <c r="H8" s="16">
        <v>0</v>
      </c>
      <c r="I8" s="16">
        <f t="shared" si="0"/>
        <v>1972.23</v>
      </c>
      <c r="J8" s="16">
        <f t="shared" si="1"/>
        <v>657.41</v>
      </c>
    </row>
    <row r="9" spans="1:10" x14ac:dyDescent="0.25">
      <c r="A9" s="12">
        <v>3772</v>
      </c>
      <c r="B9" s="13">
        <v>4</v>
      </c>
      <c r="C9" s="13" t="s">
        <v>49</v>
      </c>
      <c r="D9" s="13" t="s">
        <v>50</v>
      </c>
      <c r="E9" s="12" t="s">
        <v>34</v>
      </c>
      <c r="F9" s="16">
        <v>2571.1799999999998</v>
      </c>
      <c r="G9" s="16">
        <v>1030.43</v>
      </c>
      <c r="H9" s="16">
        <v>2513.11</v>
      </c>
      <c r="I9" s="16">
        <f t="shared" si="0"/>
        <v>6114.7199999999993</v>
      </c>
      <c r="J9" s="16">
        <f t="shared" si="1"/>
        <v>2038.2399999999998</v>
      </c>
    </row>
    <row r="10" spans="1:10" x14ac:dyDescent="0.25">
      <c r="A10" s="12">
        <v>2266</v>
      </c>
      <c r="B10" s="13">
        <v>4</v>
      </c>
      <c r="C10" s="13" t="s">
        <v>20</v>
      </c>
      <c r="D10" s="13" t="s">
        <v>21</v>
      </c>
      <c r="E10" s="12" t="s">
        <v>34</v>
      </c>
      <c r="F10" s="16">
        <v>31678.17</v>
      </c>
      <c r="G10" s="16">
        <v>33744.43</v>
      </c>
      <c r="H10" s="16">
        <v>11449.2</v>
      </c>
      <c r="I10" s="16">
        <f t="shared" si="0"/>
        <v>76871.8</v>
      </c>
      <c r="J10" s="16">
        <f t="shared" si="1"/>
        <v>25623.933333333334</v>
      </c>
    </row>
    <row r="11" spans="1:10" x14ac:dyDescent="0.25">
      <c r="A11" s="12">
        <v>225</v>
      </c>
      <c r="B11" s="13">
        <v>4</v>
      </c>
      <c r="C11" s="13" t="s">
        <v>22</v>
      </c>
      <c r="D11" s="13" t="s">
        <v>23</v>
      </c>
      <c r="E11" s="12" t="s">
        <v>34</v>
      </c>
      <c r="F11" s="16">
        <v>0</v>
      </c>
      <c r="G11" s="16">
        <v>415.35</v>
      </c>
      <c r="H11" s="16">
        <v>240.2</v>
      </c>
      <c r="I11" s="16">
        <f t="shared" si="0"/>
        <v>655.55</v>
      </c>
      <c r="J11" s="16">
        <f t="shared" si="1"/>
        <v>218.51666666666665</v>
      </c>
    </row>
    <row r="12" spans="1:10" x14ac:dyDescent="0.25">
      <c r="A12" s="12">
        <v>166</v>
      </c>
      <c r="B12" s="13">
        <v>4</v>
      </c>
      <c r="C12" s="13" t="s">
        <v>28</v>
      </c>
      <c r="D12" s="13" t="s">
        <v>29</v>
      </c>
      <c r="E12" s="12" t="s">
        <v>34</v>
      </c>
      <c r="F12" s="16">
        <v>44234.6</v>
      </c>
      <c r="G12" s="16">
        <v>45655.28</v>
      </c>
      <c r="H12" s="16">
        <v>90641.21</v>
      </c>
      <c r="I12" s="16">
        <f t="shared" si="0"/>
        <v>180531.09000000003</v>
      </c>
      <c r="J12" s="16">
        <f t="shared" si="1"/>
        <v>60177.030000000006</v>
      </c>
    </row>
    <row r="13" spans="1:10" x14ac:dyDescent="0.25">
      <c r="A13" s="12">
        <v>152</v>
      </c>
      <c r="B13" s="13">
        <v>4</v>
      </c>
      <c r="C13" s="13" t="s">
        <v>26</v>
      </c>
      <c r="D13" s="13" t="s">
        <v>27</v>
      </c>
      <c r="E13" s="12" t="s">
        <v>34</v>
      </c>
      <c r="F13" s="16">
        <v>122119.32</v>
      </c>
      <c r="G13" s="16">
        <v>62613.19</v>
      </c>
      <c r="H13" s="16">
        <v>142484.51</v>
      </c>
      <c r="I13" s="16">
        <f t="shared" si="0"/>
        <v>327217.02</v>
      </c>
      <c r="J13" s="16">
        <f t="shared" si="1"/>
        <v>109072.34000000001</v>
      </c>
    </row>
    <row r="14" spans="1:10" x14ac:dyDescent="0.25">
      <c r="A14" s="12">
        <v>1037</v>
      </c>
      <c r="B14" s="13">
        <v>4</v>
      </c>
      <c r="C14" s="13" t="s">
        <v>24</v>
      </c>
      <c r="D14" s="13" t="s">
        <v>25</v>
      </c>
      <c r="E14" s="12" t="s">
        <v>34</v>
      </c>
      <c r="F14" s="16">
        <v>66616.88</v>
      </c>
      <c r="G14" s="16">
        <v>39296.870000000003</v>
      </c>
      <c r="H14" s="16">
        <v>37603.230000000003</v>
      </c>
      <c r="I14" s="16">
        <f t="shared" si="0"/>
        <v>143516.98000000001</v>
      </c>
      <c r="J14" s="16">
        <f t="shared" si="1"/>
        <v>47838.993333333339</v>
      </c>
    </row>
    <row r="15" spans="1:10" x14ac:dyDescent="0.25">
      <c r="A15" s="12">
        <v>3590</v>
      </c>
      <c r="B15" s="13">
        <v>4</v>
      </c>
      <c r="C15" s="13" t="s">
        <v>44</v>
      </c>
      <c r="D15" s="13" t="s">
        <v>45</v>
      </c>
      <c r="E15" s="12" t="s">
        <v>34</v>
      </c>
      <c r="F15" s="16">
        <v>8536.8700000000008</v>
      </c>
      <c r="G15" s="16">
        <v>6120.46</v>
      </c>
      <c r="H15" s="16">
        <v>19406.939999999999</v>
      </c>
      <c r="I15" s="16">
        <f t="shared" si="0"/>
        <v>34064.270000000004</v>
      </c>
      <c r="J15" s="16">
        <f t="shared" si="1"/>
        <v>11354.756666666668</v>
      </c>
    </row>
    <row r="16" spans="1:10" x14ac:dyDescent="0.25">
      <c r="A16" s="12">
        <v>3524</v>
      </c>
      <c r="B16" s="13">
        <v>4</v>
      </c>
      <c r="C16" s="13" t="s">
        <v>39</v>
      </c>
      <c r="D16" s="13" t="s">
        <v>40</v>
      </c>
      <c r="E16" s="12" t="s">
        <v>34</v>
      </c>
      <c r="F16" s="16">
        <v>6912.44</v>
      </c>
      <c r="G16" s="16">
        <v>8595.14</v>
      </c>
      <c r="H16" s="16">
        <v>7679.43</v>
      </c>
      <c r="I16" s="16">
        <f t="shared" si="0"/>
        <v>23187.01</v>
      </c>
      <c r="J16" s="16">
        <f t="shared" si="1"/>
        <v>7729.0033333333331</v>
      </c>
    </row>
    <row r="17" spans="1:10" x14ac:dyDescent="0.25">
      <c r="A17" s="12">
        <v>1946</v>
      </c>
      <c r="B17" s="13">
        <v>4</v>
      </c>
      <c r="C17" s="13" t="s">
        <v>30</v>
      </c>
      <c r="D17" s="13" t="s">
        <v>31</v>
      </c>
      <c r="E17" s="12" t="s">
        <v>34</v>
      </c>
      <c r="F17" s="16">
        <v>102875.1</v>
      </c>
      <c r="G17" s="16">
        <v>65322.64</v>
      </c>
      <c r="H17" s="16">
        <v>63461.81</v>
      </c>
      <c r="I17" s="16">
        <f t="shared" si="0"/>
        <v>231659.55</v>
      </c>
      <c r="J17" s="16">
        <f t="shared" si="1"/>
        <v>77219.849999999991</v>
      </c>
    </row>
    <row r="18" spans="1:10" x14ac:dyDescent="0.25">
      <c r="A18" s="14"/>
      <c r="B18" s="15"/>
      <c r="C18" s="15"/>
      <c r="D18" s="15"/>
      <c r="E18" s="15"/>
      <c r="F18" s="18"/>
      <c r="G18" s="18"/>
      <c r="H18" s="18"/>
      <c r="I18" s="18"/>
      <c r="J18" s="1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FILIAL 1</vt:lpstr>
      <vt:lpstr>FILIAL 2</vt:lpstr>
      <vt:lpstr>FILIAL 3</vt:lpstr>
      <vt:lpstr>FILIAL 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Jayane Agata Silveira da Silva</cp:lastModifiedBy>
  <dcterms:modified xsi:type="dcterms:W3CDTF">2026-05-18T17:39:13Z</dcterms:modified>
</cp:coreProperties>
</file>