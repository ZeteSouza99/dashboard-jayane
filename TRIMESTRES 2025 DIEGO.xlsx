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yane.silva\Desktop\dados para dashboard\"/>
    </mc:Choice>
  </mc:AlternateContent>
  <bookViews>
    <workbookView xWindow="0" yWindow="0" windowWidth="24000" windowHeight="11745" activeTab="3"/>
  </bookViews>
  <sheets>
    <sheet name="FILIAL 1" sheetId="1" r:id="rId1"/>
    <sheet name="FILIAL 2" sheetId="2" r:id="rId2"/>
    <sheet name="FILIAL 3" sheetId="3" r:id="rId3"/>
    <sheet name="FILIAL 4" sheetId="4" r:id="rId4"/>
  </sheets>
  <calcPr calcId="152511"/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J2" i="4"/>
  <c r="I2" i="4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2" i="3"/>
  <c r="J2" i="3" s="1"/>
  <c r="J7" i="2" l="1"/>
  <c r="J8" i="2"/>
  <c r="J9" i="2"/>
  <c r="J10" i="2"/>
  <c r="I3" i="2"/>
  <c r="J3" i="2" s="1"/>
  <c r="I4" i="2"/>
  <c r="J4" i="2" s="1"/>
  <c r="I5" i="2"/>
  <c r="J5" i="2" s="1"/>
  <c r="I6" i="2"/>
  <c r="J6" i="2" s="1"/>
  <c r="I7" i="2"/>
  <c r="I8" i="2"/>
  <c r="I9" i="2"/>
  <c r="I10" i="2"/>
  <c r="I11" i="2"/>
  <c r="J11" i="2" s="1"/>
  <c r="I12" i="2"/>
  <c r="J12" i="2" s="1"/>
  <c r="I13" i="2"/>
  <c r="J13" i="2" s="1"/>
  <c r="I2" i="2"/>
  <c r="J2" i="2" s="1"/>
  <c r="J7" i="1"/>
  <c r="J8" i="1"/>
  <c r="J9" i="1"/>
  <c r="J10" i="1"/>
  <c r="I3" i="1"/>
  <c r="J3" i="1" s="1"/>
  <c r="I4" i="1"/>
  <c r="J4" i="1" s="1"/>
  <c r="I5" i="1"/>
  <c r="J5" i="1" s="1"/>
  <c r="I6" i="1"/>
  <c r="J6" i="1" s="1"/>
  <c r="I7" i="1"/>
  <c r="I8" i="1"/>
  <c r="I9" i="1"/>
  <c r="I10" i="1"/>
  <c r="I11" i="1"/>
  <c r="J11" i="1" s="1"/>
  <c r="I12" i="1"/>
  <c r="J12" i="1" s="1"/>
  <c r="I13" i="1"/>
  <c r="J13" i="1" s="1"/>
  <c r="I14" i="1"/>
  <c r="J14" i="1" s="1"/>
  <c r="I2" i="1"/>
  <c r="J2" i="1" s="1"/>
</calcChain>
</file>

<file path=xl/sharedStrings.xml><?xml version="1.0" encoding="utf-8"?>
<sst xmlns="http://schemas.openxmlformats.org/spreadsheetml/2006/main" count="192" uniqueCount="48">
  <si>
    <t>CODFORNEC</t>
  </si>
  <si>
    <t>FORNECEDOR</t>
  </si>
  <si>
    <t>CODCOMPRADOR</t>
  </si>
  <si>
    <t>JANEIRO</t>
  </si>
  <si>
    <t>FEVEREIRO</t>
  </si>
  <si>
    <t>MARCO</t>
  </si>
  <si>
    <t>HIGIE PLUS COTTONBABY INDUSTRIA E COMERCIO LTDA</t>
  </si>
  <si>
    <t>COTTONBABY</t>
  </si>
  <si>
    <t>CIMEX DISTRIBUIDORA COSMETICOS LTDA</t>
  </si>
  <si>
    <t>DARCO COSMETICOS</t>
  </si>
  <si>
    <t>EVER GREEN DO NORDESTE INDUSTRIA E COMERCIO LTDA</t>
  </si>
  <si>
    <t>EVER GREEN</t>
  </si>
  <si>
    <t>PHITOTERAPHIA BIOFITOGENIA LABORATORIAL BIOTA LTDA</t>
  </si>
  <si>
    <t>EMBELLEZE</t>
  </si>
  <si>
    <t>EXCEED COSMETICOS LTDA</t>
  </si>
  <si>
    <t>EXCEED</t>
  </si>
  <si>
    <t>PMI SOUTH AMERICA CONSUMER GOODS LTDA</t>
  </si>
  <si>
    <t>STANLEY</t>
  </si>
  <si>
    <t>PHISALIA DISTRIBUIDORA LTDA</t>
  </si>
  <si>
    <t>TRALALA</t>
  </si>
  <si>
    <t>FARMAX S.A.</t>
  </si>
  <si>
    <t>FARMAX</t>
  </si>
  <si>
    <t>INDUSTRIA DE COSMETICOS PRO CACHOS</t>
  </si>
  <si>
    <t>PRO CACHOS</t>
  </si>
  <si>
    <t>LR NORDESTE S/A</t>
  </si>
  <si>
    <t>LEITE ROSAS/TALCO</t>
  </si>
  <si>
    <t>INDUSTRIA E COMERCIO DE PRODUTOS DE BELEZA YAMA LTDA</t>
  </si>
  <si>
    <t>YAMA</t>
  </si>
  <si>
    <t>MUNDIAL DISTRIBUIDORA DE PRODUTOS DE CONSUMO LTDA</t>
  </si>
  <si>
    <t>MUNDIAL/IMPALA</t>
  </si>
  <si>
    <t>FABRICA DE ARTEFATOS DE LATEX BLOWTEX LTDA</t>
  </si>
  <si>
    <t>BLOWTEX</t>
  </si>
  <si>
    <t>FILIAL</t>
  </si>
  <si>
    <t>FANTASIA</t>
  </si>
  <si>
    <t>TOTAL</t>
  </si>
  <si>
    <t>MEDIA</t>
  </si>
  <si>
    <t>DIEGO</t>
  </si>
  <si>
    <t>LABOTRAT INDUSTRIA DE COSMETICOS LTDA</t>
  </si>
  <si>
    <t>LABOTRAT</t>
  </si>
  <si>
    <t>HIGIE TOPP INDUSTRIA E COM DE PROD HIGIENICOS E TEXTEIS LTDA</t>
  </si>
  <si>
    <t>COTTONLINE</t>
  </si>
  <si>
    <t>DISTRIBUIDORA DE COSMETICOS LABOREN LTDA</t>
  </si>
  <si>
    <t>LABORENE</t>
  </si>
  <si>
    <t>TAIFF PROART DIST DE PROD DE BELEZA</t>
  </si>
  <si>
    <t>TAIFF</t>
  </si>
  <si>
    <t>MAYSTAR COSMETICA DO BRASIL LTDA</t>
  </si>
  <si>
    <t>DEPILFLAX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</si>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</sst>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3" borderId="3" xfId="0" applyNumberFormat="1" applyFont="1" applyFill="1" applyBorder="1" applyAlignment="1" applyProtection="1">
      <alignment horizontal="left" vertical="top" wrapText="1"/>
    </xf>
    <xf numFmtId="164" fontId="2" fillId="3" borderId="1" xfId="0" applyNumberFormat="1" applyFont="1" applyFill="1" applyBorder="1" applyAlignment="1" applyProtection="1">
      <alignment horizontal="left" vertical="top" wrapText="1"/>
    </xf>
    <xf numFmtId="164" fontId="2" fillId="2" borderId="1" xfId="0" applyNumberFormat="1" applyFont="1" applyFill="1" applyBorder="1" applyAlignment="1" applyProtection="1">
      <alignment horizontal="right" vertical="top" wrapText="1"/>
    </xf>
    <xf numFmtId="164" fontId="2" fillId="3" borderId="3" xfId="0" applyNumberFormat="1" applyFont="1" applyFill="1" applyBorder="1" applyAlignment="1" applyProtection="1">
      <alignment horizontal="left" vertical="top" wrapText="1"/>
    </xf>
    <xf numFmtId="164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/>
    </xf>
    <xf numFmtId="0" fontId="0" fillId="0" borderId="0" xfId="0" applyAlignment="1"/>
    <xf numFmtId="0" fontId="2" fillId="2" borderId="1" xfId="0" applyNumberFormat="1" applyFont="1" applyFill="1" applyBorder="1" applyAlignment="1" applyProtection="1">
      <alignment horizontal="right" vertical="top"/>
    </xf>
    <xf numFmtId="0" fontId="2" fillId="2" borderId="1" xfId="0" applyNumberFormat="1" applyFont="1" applyFill="1" applyBorder="1" applyAlignment="1" applyProtection="1">
      <alignment horizontal="left" vertical="top"/>
    </xf>
    <xf numFmtId="0" fontId="2" fillId="3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left" vertical="top"/>
    </xf>
    <xf numFmtId="164" fontId="2" fillId="3" borderId="1" xfId="0" applyNumberFormat="1" applyFont="1" applyFill="1" applyBorder="1" applyAlignment="1" applyProtection="1">
      <alignment horizontal="left" vertical="top"/>
    </xf>
    <xf numFmtId="164" fontId="2" fillId="2" borderId="1" xfId="0" applyNumberFormat="1" applyFont="1" applyFill="1" applyBorder="1" applyAlignment="1" applyProtection="1">
      <alignment horizontal="right" vertical="top"/>
    </xf>
    <xf numFmtId="164" fontId="2" fillId="3" borderId="3" xfId="0" applyNumberFormat="1" applyFont="1" applyFill="1" applyBorder="1" applyAlignment="1" applyProtection="1">
      <alignment horizontal="left" vertical="top"/>
    </xf>
    <xf numFmtId="164" fontId="0" fillId="0" borderId="0" xfId="0" applyNumberFormat="1" applyAlignment="1"/>
    <xf numFmtId="164" fontId="2" fillId="2" borderId="1" xfId="0" applyNumberFormat="1" applyFont="1" applyFill="1" applyBorder="1" applyAlignment="1" applyProtection="1">
      <alignment horizontal="left" vertical="top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2" fillId="3" borderId="1" xfId="0" applyNumberFormat="1" applyFont="1" applyFill="1" applyBorder="1" applyAlignment="1" applyProtection="1">
      <alignment horizontal="left" vertical="top"/>
    </xf>
    <xf numFmtId="0" fontId="2" fillId="2" borderId="1" xfId="0" applyNumberFormat="1" applyFont="1" applyFill="1" applyBorder="1" applyAlignment="1" applyProtection="1">
      <alignment horizontal="right" vertical="top"/>
    </xf>
    <xf numFmtId="0" fontId="2" fillId="2" borderId="1" xfId="0" applyNumberFormat="1" applyFont="1" applyFill="1" applyBorder="1" applyAlignment="1" applyProtection="1">
      <alignment horizontal="left" vertical="top"/>
    </xf>
    <xf numFmtId="0" fontId="2" fillId="3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C19" sqref="C19"/>
    </sheetView>
  </sheetViews>
  <sheetFormatPr defaultColWidth="12.140625" defaultRowHeight="14.25" customHeight="1" x14ac:dyDescent="0.25"/>
  <cols>
    <col min="1" max="1" width="9.85546875" style="1" customWidth="1"/>
    <col min="2" max="2" width="5.42578125" style="1" bestFit="1" customWidth="1"/>
    <col min="3" max="3" width="45.140625" style="1" customWidth="1"/>
    <col min="4" max="4" width="13.28515625" style="1" customWidth="1"/>
    <col min="5" max="5" width="15.85546875" style="1" customWidth="1"/>
    <col min="6" max="8" width="11.28515625" style="10" bestFit="1" customWidth="1"/>
    <col min="9" max="9" width="12.7109375" style="10" bestFit="1" customWidth="1"/>
    <col min="10" max="10" width="11.28515625" style="10" bestFit="1" customWidth="1"/>
    <col min="11" max="16384" width="12.140625" style="1"/>
  </cols>
  <sheetData>
    <row r="1" spans="1:10" ht="13.5" customHeight="1" x14ac:dyDescent="0.25">
      <c r="A1" s="2" t="s">
        <v>0</v>
      </c>
      <c r="B1" s="2" t="s">
        <v>32</v>
      </c>
      <c r="C1" s="2" t="s">
        <v>1</v>
      </c>
      <c r="D1" s="2" t="s">
        <v>2</v>
      </c>
      <c r="E1" s="2" t="s">
        <v>33</v>
      </c>
      <c r="F1" s="7" t="s">
        <v>3</v>
      </c>
      <c r="G1" s="7" t="s">
        <v>4</v>
      </c>
      <c r="H1" s="7" t="s">
        <v>5</v>
      </c>
      <c r="I1" s="7" t="s">
        <v>34</v>
      </c>
      <c r="J1" s="7" t="s">
        <v>35</v>
      </c>
    </row>
    <row r="2" spans="1:10" ht="12.75" customHeight="1" x14ac:dyDescent="0.25">
      <c r="A2" s="3">
        <v>28</v>
      </c>
      <c r="B2" s="3">
        <v>1</v>
      </c>
      <c r="C2" s="4" t="s">
        <v>6</v>
      </c>
      <c r="D2" s="4" t="s">
        <v>36</v>
      </c>
      <c r="E2" s="4" t="s">
        <v>7</v>
      </c>
      <c r="F2" s="8">
        <v>173561.51</v>
      </c>
      <c r="G2" s="8">
        <v>193521.07</v>
      </c>
      <c r="H2" s="8">
        <v>124385.63</v>
      </c>
      <c r="I2" s="8">
        <f>SUM(F2:H2)</f>
        <v>491468.21</v>
      </c>
      <c r="J2" s="8">
        <f>I2/3</f>
        <v>163822.73666666666</v>
      </c>
    </row>
    <row r="3" spans="1:10" ht="12.75" customHeight="1" x14ac:dyDescent="0.25">
      <c r="A3" s="3">
        <v>2184</v>
      </c>
      <c r="B3" s="3">
        <v>1</v>
      </c>
      <c r="C3" s="4" t="s">
        <v>8</v>
      </c>
      <c r="D3" s="4" t="s">
        <v>36</v>
      </c>
      <c r="E3" s="4" t="s">
        <v>9</v>
      </c>
      <c r="F3" s="8">
        <v>367364.46</v>
      </c>
      <c r="G3" s="8">
        <v>544649.54</v>
      </c>
      <c r="H3" s="8">
        <v>452405.74</v>
      </c>
      <c r="I3" s="8">
        <f t="shared" ref="I3:I14" si="0">SUM(F3:H3)</f>
        <v>1364419.74</v>
      </c>
      <c r="J3" s="8">
        <f t="shared" ref="J3:J14" si="1">I3/3</f>
        <v>454806.58</v>
      </c>
    </row>
    <row r="4" spans="1:10" ht="12.75" customHeight="1" x14ac:dyDescent="0.25">
      <c r="A4" s="3">
        <v>2610</v>
      </c>
      <c r="B4" s="3">
        <v>1</v>
      </c>
      <c r="C4" s="4" t="s">
        <v>10</v>
      </c>
      <c r="D4" s="4" t="s">
        <v>36</v>
      </c>
      <c r="E4" s="4" t="s">
        <v>11</v>
      </c>
      <c r="F4" s="8">
        <v>150029.26999999999</v>
      </c>
      <c r="G4" s="8">
        <v>163712.53</v>
      </c>
      <c r="H4" s="8">
        <v>188351</v>
      </c>
      <c r="I4" s="8">
        <f t="shared" si="0"/>
        <v>502092.79999999999</v>
      </c>
      <c r="J4" s="8">
        <f t="shared" si="1"/>
        <v>167364.26666666666</v>
      </c>
    </row>
    <row r="5" spans="1:10" ht="12.75" customHeight="1" x14ac:dyDescent="0.25">
      <c r="A5" s="3">
        <v>110</v>
      </c>
      <c r="B5" s="3">
        <v>1</v>
      </c>
      <c r="C5" s="4" t="s">
        <v>12</v>
      </c>
      <c r="D5" s="4" t="s">
        <v>36</v>
      </c>
      <c r="E5" s="4" t="s">
        <v>13</v>
      </c>
      <c r="F5" s="8">
        <v>158329.96</v>
      </c>
      <c r="G5" s="8">
        <v>211913.12</v>
      </c>
      <c r="H5" s="8">
        <v>226337.13</v>
      </c>
      <c r="I5" s="8">
        <f t="shared" si="0"/>
        <v>596580.21</v>
      </c>
      <c r="J5" s="8">
        <f t="shared" si="1"/>
        <v>198860.06999999998</v>
      </c>
    </row>
    <row r="6" spans="1:10" ht="12.75" customHeight="1" x14ac:dyDescent="0.25">
      <c r="A6" s="3">
        <v>116</v>
      </c>
      <c r="B6" s="3">
        <v>1</v>
      </c>
      <c r="C6" s="4" t="s">
        <v>14</v>
      </c>
      <c r="D6" s="4" t="s">
        <v>36</v>
      </c>
      <c r="E6" s="4" t="s">
        <v>15</v>
      </c>
      <c r="F6" s="8">
        <v>82619.259999999995</v>
      </c>
      <c r="G6" s="8">
        <v>64154.31</v>
      </c>
      <c r="H6" s="8">
        <v>154024.01999999999</v>
      </c>
      <c r="I6" s="8">
        <f t="shared" si="0"/>
        <v>300797.58999999997</v>
      </c>
      <c r="J6" s="8">
        <f t="shared" si="1"/>
        <v>100265.86333333333</v>
      </c>
    </row>
    <row r="7" spans="1:10" ht="12.75" customHeight="1" x14ac:dyDescent="0.25">
      <c r="A7" s="3">
        <v>3145</v>
      </c>
      <c r="B7" s="3">
        <v>1</v>
      </c>
      <c r="C7" s="4" t="s">
        <v>16</v>
      </c>
      <c r="D7" s="4" t="s">
        <v>36</v>
      </c>
      <c r="E7" s="4" t="s">
        <v>17</v>
      </c>
      <c r="F7" s="8">
        <v>8106.01</v>
      </c>
      <c r="G7" s="8">
        <v>5346.45</v>
      </c>
      <c r="H7" s="8">
        <v>13025.36</v>
      </c>
      <c r="I7" s="8">
        <f t="shared" si="0"/>
        <v>26477.82</v>
      </c>
      <c r="J7" s="8">
        <f t="shared" si="1"/>
        <v>8825.94</v>
      </c>
    </row>
    <row r="8" spans="1:10" ht="12.75" customHeight="1" x14ac:dyDescent="0.25">
      <c r="A8" s="3">
        <v>2266</v>
      </c>
      <c r="B8" s="3">
        <v>1</v>
      </c>
      <c r="C8" s="4" t="s">
        <v>18</v>
      </c>
      <c r="D8" s="4" t="s">
        <v>36</v>
      </c>
      <c r="E8" s="4" t="s">
        <v>19</v>
      </c>
      <c r="F8" s="8">
        <v>86690.14</v>
      </c>
      <c r="G8" s="8">
        <v>88757.49</v>
      </c>
      <c r="H8" s="8">
        <v>59497.06</v>
      </c>
      <c r="I8" s="8">
        <f t="shared" si="0"/>
        <v>234944.69</v>
      </c>
      <c r="J8" s="8">
        <f t="shared" si="1"/>
        <v>78314.896666666667</v>
      </c>
    </row>
    <row r="9" spans="1:10" ht="12.75" customHeight="1" x14ac:dyDescent="0.25">
      <c r="A9" s="3">
        <v>225</v>
      </c>
      <c r="B9" s="3">
        <v>1</v>
      </c>
      <c r="C9" s="4" t="s">
        <v>20</v>
      </c>
      <c r="D9" s="4" t="s">
        <v>36</v>
      </c>
      <c r="E9" s="4" t="s">
        <v>21</v>
      </c>
      <c r="F9" s="8">
        <v>4230.66</v>
      </c>
      <c r="G9" s="8">
        <v>2079.48</v>
      </c>
      <c r="H9" s="8">
        <v>2408.66</v>
      </c>
      <c r="I9" s="8">
        <f t="shared" si="0"/>
        <v>8718.7999999999993</v>
      </c>
      <c r="J9" s="8">
        <f t="shared" si="1"/>
        <v>2906.2666666666664</v>
      </c>
    </row>
    <row r="10" spans="1:10" ht="12.75" customHeight="1" x14ac:dyDescent="0.25">
      <c r="A10" s="3">
        <v>1037</v>
      </c>
      <c r="B10" s="3">
        <v>1</v>
      </c>
      <c r="C10" s="4" t="s">
        <v>22</v>
      </c>
      <c r="D10" s="4" t="s">
        <v>36</v>
      </c>
      <c r="E10" s="4" t="s">
        <v>23</v>
      </c>
      <c r="F10" s="8">
        <v>90301.55</v>
      </c>
      <c r="G10" s="8">
        <v>100009.96</v>
      </c>
      <c r="H10" s="8">
        <v>110259.38</v>
      </c>
      <c r="I10" s="8">
        <f t="shared" si="0"/>
        <v>300570.89</v>
      </c>
      <c r="J10" s="8">
        <f t="shared" si="1"/>
        <v>100190.29666666668</v>
      </c>
    </row>
    <row r="11" spans="1:10" ht="12.75" customHeight="1" x14ac:dyDescent="0.25">
      <c r="A11" s="3">
        <v>166</v>
      </c>
      <c r="B11" s="3">
        <v>1</v>
      </c>
      <c r="C11" s="4" t="s">
        <v>24</v>
      </c>
      <c r="D11" s="4" t="s">
        <v>36</v>
      </c>
      <c r="E11" s="4" t="s">
        <v>25</v>
      </c>
      <c r="F11" s="8">
        <v>101542.29</v>
      </c>
      <c r="G11" s="8">
        <v>90061.6</v>
      </c>
      <c r="H11" s="8">
        <v>175306.53</v>
      </c>
      <c r="I11" s="8">
        <f t="shared" si="0"/>
        <v>366910.42000000004</v>
      </c>
      <c r="J11" s="8">
        <f t="shared" si="1"/>
        <v>122303.47333333334</v>
      </c>
    </row>
    <row r="12" spans="1:10" ht="12.75" customHeight="1" x14ac:dyDescent="0.25">
      <c r="A12" s="3">
        <v>152</v>
      </c>
      <c r="B12" s="3">
        <v>1</v>
      </c>
      <c r="C12" s="4" t="s">
        <v>26</v>
      </c>
      <c r="D12" s="4" t="s">
        <v>36</v>
      </c>
      <c r="E12" s="4" t="s">
        <v>27</v>
      </c>
      <c r="F12" s="8">
        <v>76860.38</v>
      </c>
      <c r="G12" s="8">
        <v>102329.92</v>
      </c>
      <c r="H12" s="8">
        <v>91517.98</v>
      </c>
      <c r="I12" s="8">
        <f t="shared" si="0"/>
        <v>270708.27999999997</v>
      </c>
      <c r="J12" s="8">
        <f t="shared" si="1"/>
        <v>90236.093333333323</v>
      </c>
    </row>
    <row r="13" spans="1:10" ht="12.75" customHeight="1" x14ac:dyDescent="0.25">
      <c r="A13" s="3">
        <v>1946</v>
      </c>
      <c r="B13" s="3">
        <v>1</v>
      </c>
      <c r="C13" s="4" t="s">
        <v>28</v>
      </c>
      <c r="D13" s="4" t="s">
        <v>36</v>
      </c>
      <c r="E13" s="4" t="s">
        <v>29</v>
      </c>
      <c r="F13" s="8">
        <v>137499.53</v>
      </c>
      <c r="G13" s="8">
        <v>242742.69</v>
      </c>
      <c r="H13" s="8">
        <v>249469.6</v>
      </c>
      <c r="I13" s="8">
        <f t="shared" si="0"/>
        <v>629711.81999999995</v>
      </c>
      <c r="J13" s="8">
        <f t="shared" si="1"/>
        <v>209903.93999999997</v>
      </c>
    </row>
    <row r="14" spans="1:10" ht="12.75" customHeight="1" x14ac:dyDescent="0.25">
      <c r="A14" s="3">
        <v>3553</v>
      </c>
      <c r="B14" s="3">
        <v>1</v>
      </c>
      <c r="C14" s="4" t="s">
        <v>30</v>
      </c>
      <c r="D14" s="4" t="s">
        <v>36</v>
      </c>
      <c r="E14" s="4" t="s">
        <v>31</v>
      </c>
      <c r="F14" s="8">
        <v>26658.5</v>
      </c>
      <c r="G14" s="8">
        <v>33422.94</v>
      </c>
      <c r="H14" s="8">
        <v>45171.14</v>
      </c>
      <c r="I14" s="8">
        <f t="shared" si="0"/>
        <v>105252.58</v>
      </c>
      <c r="J14" s="8">
        <f t="shared" si="1"/>
        <v>35084.193333333336</v>
      </c>
    </row>
    <row r="15" spans="1:10" ht="12" customHeight="1" x14ac:dyDescent="0.25">
      <c r="A15" s="5"/>
      <c r="B15" s="6"/>
      <c r="C15" s="6"/>
      <c r="D15" s="6"/>
      <c r="E15" s="6"/>
      <c r="F15" s="9"/>
      <c r="G15" s="9"/>
      <c r="H15" s="9"/>
      <c r="I15" s="9"/>
      <c r="J15" s="9"/>
    </row>
  </sheetData>
  <pageMargins left="0.511811024" right="0.511811024" top="0.78740157499999996" bottom="0.78740157499999996" header="0.31496062000000002" footer="0.31496062000000002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D1" sqref="D1"/>
    </sheetView>
  </sheetViews>
  <sheetFormatPr defaultRowHeight="15" x14ac:dyDescent="0.25"/>
  <cols>
    <col min="1" max="1" width="10" style="12" bestFit="1" customWidth="1"/>
    <col min="2" max="2" width="10.7109375" style="12" bestFit="1" customWidth="1"/>
    <col min="3" max="3" width="46.5703125" style="12" bestFit="1" customWidth="1"/>
    <col min="4" max="4" width="16.140625" style="12" bestFit="1" customWidth="1"/>
    <col min="5" max="5" width="13.5703125" style="12" bestFit="1" customWidth="1"/>
    <col min="6" max="10" width="11.28515625" style="20" bestFit="1" customWidth="1"/>
    <col min="11" max="16384" width="9.140625" style="12"/>
  </cols>
  <sheetData>
    <row r="1" spans="1:10" x14ac:dyDescent="0.25">
      <c r="A1" s="11" t="s">
        <v>0</v>
      </c>
      <c r="B1" s="11" t="s">
        <v>32</v>
      </c>
      <c r="C1" s="11" t="s">
        <v>1</v>
      </c>
      <c r="D1" s="11" t="s">
        <v>33</v>
      </c>
      <c r="E1" s="11" t="s">
        <v>2</v>
      </c>
      <c r="F1" s="17" t="s">
        <v>3</v>
      </c>
      <c r="G1" s="17" t="s">
        <v>4</v>
      </c>
      <c r="H1" s="17" t="s">
        <v>5</v>
      </c>
      <c r="I1" s="17" t="s">
        <v>34</v>
      </c>
      <c r="J1" s="17" t="s">
        <v>35</v>
      </c>
    </row>
    <row r="2" spans="1:10" x14ac:dyDescent="0.25">
      <c r="A2" s="13">
        <v>28</v>
      </c>
      <c r="B2" s="14">
        <v>2</v>
      </c>
      <c r="C2" s="14" t="s">
        <v>6</v>
      </c>
      <c r="D2" s="14" t="s">
        <v>7</v>
      </c>
      <c r="E2" s="13" t="s">
        <v>36</v>
      </c>
      <c r="F2" s="18">
        <v>55946.99</v>
      </c>
      <c r="G2" s="18">
        <v>46756.57</v>
      </c>
      <c r="H2" s="18">
        <v>49103.33</v>
      </c>
      <c r="I2" s="18">
        <f>SUM(F2:H2)</f>
        <v>151806.89000000001</v>
      </c>
      <c r="J2" s="18">
        <f>I2/3</f>
        <v>50602.296666666669</v>
      </c>
    </row>
    <row r="3" spans="1:10" x14ac:dyDescent="0.25">
      <c r="A3" s="13">
        <v>2184</v>
      </c>
      <c r="B3" s="14">
        <v>2</v>
      </c>
      <c r="C3" s="14" t="s">
        <v>8</v>
      </c>
      <c r="D3" s="14" t="s">
        <v>9</v>
      </c>
      <c r="E3" s="13" t="s">
        <v>36</v>
      </c>
      <c r="F3" s="18">
        <v>134530.46</v>
      </c>
      <c r="G3" s="18">
        <v>198835.29</v>
      </c>
      <c r="H3" s="18">
        <v>175018.57</v>
      </c>
      <c r="I3" s="18">
        <f t="shared" ref="I3:I13" si="0">SUM(F3:H3)</f>
        <v>508384.32</v>
      </c>
      <c r="J3" s="18">
        <f t="shared" ref="J3:J13" si="1">I3/3</f>
        <v>169461.44</v>
      </c>
    </row>
    <row r="4" spans="1:10" x14ac:dyDescent="0.25">
      <c r="A4" s="13">
        <v>110</v>
      </c>
      <c r="B4" s="14">
        <v>2</v>
      </c>
      <c r="C4" s="14" t="s">
        <v>12</v>
      </c>
      <c r="D4" s="14" t="s">
        <v>13</v>
      </c>
      <c r="E4" s="13" t="s">
        <v>36</v>
      </c>
      <c r="F4" s="18">
        <v>79674.820000000007</v>
      </c>
      <c r="G4" s="18">
        <v>102582.99</v>
      </c>
      <c r="H4" s="18">
        <v>85616.39</v>
      </c>
      <c r="I4" s="18">
        <f t="shared" si="0"/>
        <v>267874.2</v>
      </c>
      <c r="J4" s="18">
        <f t="shared" si="1"/>
        <v>89291.400000000009</v>
      </c>
    </row>
    <row r="5" spans="1:10" x14ac:dyDescent="0.25">
      <c r="A5" s="13">
        <v>2610</v>
      </c>
      <c r="B5" s="14">
        <v>2</v>
      </c>
      <c r="C5" s="14" t="s">
        <v>10</v>
      </c>
      <c r="D5" s="14" t="s">
        <v>11</v>
      </c>
      <c r="E5" s="13" t="s">
        <v>36</v>
      </c>
      <c r="F5" s="18">
        <v>14291.57</v>
      </c>
      <c r="G5" s="18">
        <v>13082.97</v>
      </c>
      <c r="H5" s="18">
        <v>18368.28</v>
      </c>
      <c r="I5" s="18">
        <f t="shared" si="0"/>
        <v>45742.82</v>
      </c>
      <c r="J5" s="18">
        <f t="shared" si="1"/>
        <v>15247.606666666667</v>
      </c>
    </row>
    <row r="6" spans="1:10" x14ac:dyDescent="0.25">
      <c r="A6" s="13">
        <v>116</v>
      </c>
      <c r="B6" s="14">
        <v>2</v>
      </c>
      <c r="C6" s="14" t="s">
        <v>14</v>
      </c>
      <c r="D6" s="14" t="s">
        <v>15</v>
      </c>
      <c r="E6" s="13" t="s">
        <v>36</v>
      </c>
      <c r="F6" s="18">
        <v>7375.68</v>
      </c>
      <c r="G6" s="18">
        <v>1943.02</v>
      </c>
      <c r="H6" s="18">
        <v>110273.04</v>
      </c>
      <c r="I6" s="18">
        <f t="shared" si="0"/>
        <v>119591.73999999999</v>
      </c>
      <c r="J6" s="18">
        <f t="shared" si="1"/>
        <v>39863.91333333333</v>
      </c>
    </row>
    <row r="7" spans="1:10" x14ac:dyDescent="0.25">
      <c r="A7" s="13">
        <v>225</v>
      </c>
      <c r="B7" s="14">
        <v>2</v>
      </c>
      <c r="C7" s="14" t="s">
        <v>20</v>
      </c>
      <c r="D7" s="14" t="s">
        <v>21</v>
      </c>
      <c r="E7" s="13" t="s">
        <v>36</v>
      </c>
      <c r="F7" s="18">
        <v>237.03</v>
      </c>
      <c r="G7" s="18">
        <v>60.83</v>
      </c>
      <c r="H7" s="18">
        <v>59.35</v>
      </c>
      <c r="I7" s="18">
        <f t="shared" si="0"/>
        <v>357.21000000000004</v>
      </c>
      <c r="J7" s="18">
        <f t="shared" si="1"/>
        <v>119.07000000000001</v>
      </c>
    </row>
    <row r="8" spans="1:10" x14ac:dyDescent="0.25">
      <c r="A8" s="13">
        <v>2266</v>
      </c>
      <c r="B8" s="14">
        <v>2</v>
      </c>
      <c r="C8" s="14" t="s">
        <v>18</v>
      </c>
      <c r="D8" s="14" t="s">
        <v>19</v>
      </c>
      <c r="E8" s="13" t="s">
        <v>36</v>
      </c>
      <c r="F8" s="18">
        <v>25317.91</v>
      </c>
      <c r="G8" s="18">
        <v>29669.93</v>
      </c>
      <c r="H8" s="18">
        <v>34545.85</v>
      </c>
      <c r="I8" s="18">
        <f t="shared" si="0"/>
        <v>89533.69</v>
      </c>
      <c r="J8" s="18">
        <f t="shared" si="1"/>
        <v>29844.563333333335</v>
      </c>
    </row>
    <row r="9" spans="1:10" x14ac:dyDescent="0.25">
      <c r="A9" s="13">
        <v>166</v>
      </c>
      <c r="B9" s="14">
        <v>2</v>
      </c>
      <c r="C9" s="14" t="s">
        <v>24</v>
      </c>
      <c r="D9" s="14" t="s">
        <v>25</v>
      </c>
      <c r="E9" s="13" t="s">
        <v>36</v>
      </c>
      <c r="F9" s="18">
        <v>14384.07</v>
      </c>
      <c r="G9" s="18">
        <v>26741.71</v>
      </c>
      <c r="H9" s="18">
        <v>30303.53</v>
      </c>
      <c r="I9" s="18">
        <f t="shared" si="0"/>
        <v>71429.31</v>
      </c>
      <c r="J9" s="18">
        <f t="shared" si="1"/>
        <v>23809.77</v>
      </c>
    </row>
    <row r="10" spans="1:10" x14ac:dyDescent="0.25">
      <c r="A10" s="13">
        <v>3524</v>
      </c>
      <c r="B10" s="14">
        <v>2</v>
      </c>
      <c r="C10" s="14" t="s">
        <v>37</v>
      </c>
      <c r="D10" s="14" t="s">
        <v>38</v>
      </c>
      <c r="E10" s="13" t="s">
        <v>36</v>
      </c>
      <c r="F10" s="18">
        <v>7401.35</v>
      </c>
      <c r="G10" s="18">
        <v>5287.8</v>
      </c>
      <c r="H10" s="18">
        <v>2490.16</v>
      </c>
      <c r="I10" s="18">
        <f t="shared" si="0"/>
        <v>15179.310000000001</v>
      </c>
      <c r="J10" s="18">
        <f t="shared" si="1"/>
        <v>5059.7700000000004</v>
      </c>
    </row>
    <row r="11" spans="1:10" x14ac:dyDescent="0.25">
      <c r="A11" s="13">
        <v>152</v>
      </c>
      <c r="B11" s="14">
        <v>2</v>
      </c>
      <c r="C11" s="14" t="s">
        <v>26</v>
      </c>
      <c r="D11" s="14" t="s">
        <v>27</v>
      </c>
      <c r="E11" s="13" t="s">
        <v>36</v>
      </c>
      <c r="F11" s="18">
        <v>35841.86</v>
      </c>
      <c r="G11" s="18">
        <v>34935.82</v>
      </c>
      <c r="H11" s="18">
        <v>30838.38</v>
      </c>
      <c r="I11" s="18">
        <f t="shared" si="0"/>
        <v>101616.06</v>
      </c>
      <c r="J11" s="18">
        <f t="shared" si="1"/>
        <v>33872.019999999997</v>
      </c>
    </row>
    <row r="12" spans="1:10" x14ac:dyDescent="0.25">
      <c r="A12" s="13">
        <v>1946</v>
      </c>
      <c r="B12" s="14">
        <v>2</v>
      </c>
      <c r="C12" s="14" t="s">
        <v>28</v>
      </c>
      <c r="D12" s="14" t="s">
        <v>29</v>
      </c>
      <c r="E12" s="13" t="s">
        <v>36</v>
      </c>
      <c r="F12" s="18">
        <v>66235.78</v>
      </c>
      <c r="G12" s="18">
        <v>79277.710000000006</v>
      </c>
      <c r="H12" s="18">
        <v>83966.89</v>
      </c>
      <c r="I12" s="18">
        <f t="shared" si="0"/>
        <v>229480.38</v>
      </c>
      <c r="J12" s="18">
        <f t="shared" si="1"/>
        <v>76493.460000000006</v>
      </c>
    </row>
    <row r="13" spans="1:10" x14ac:dyDescent="0.25">
      <c r="A13" s="13">
        <v>3553</v>
      </c>
      <c r="B13" s="14">
        <v>2</v>
      </c>
      <c r="C13" s="14" t="s">
        <v>30</v>
      </c>
      <c r="D13" s="14" t="s">
        <v>31</v>
      </c>
      <c r="E13" s="13" t="s">
        <v>36</v>
      </c>
      <c r="F13" s="18">
        <v>2543.66</v>
      </c>
      <c r="G13" s="18">
        <v>2888.31</v>
      </c>
      <c r="H13" s="18">
        <v>1774.21</v>
      </c>
      <c r="I13" s="18">
        <f t="shared" si="0"/>
        <v>7206.1799999999994</v>
      </c>
      <c r="J13" s="18">
        <f t="shared" si="1"/>
        <v>2402.06</v>
      </c>
    </row>
    <row r="14" spans="1:10" x14ac:dyDescent="0.25">
      <c r="A14" s="15"/>
      <c r="B14" s="16"/>
      <c r="C14" s="16"/>
      <c r="D14" s="16"/>
      <c r="E14" s="16"/>
      <c r="F14" s="19"/>
      <c r="G14" s="19"/>
      <c r="H14" s="19"/>
      <c r="I14" s="19"/>
      <c r="J14" s="1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D1" sqref="D1"/>
    </sheetView>
  </sheetViews>
  <sheetFormatPr defaultRowHeight="15" x14ac:dyDescent="0.25"/>
  <cols>
    <col min="1" max="1" width="10" style="12" bestFit="1" customWidth="1"/>
    <col min="2" max="2" width="10.7109375" style="12" bestFit="1" customWidth="1"/>
    <col min="3" max="3" width="51" style="12" bestFit="1" customWidth="1"/>
    <col min="4" max="4" width="16.140625" style="12" bestFit="1" customWidth="1"/>
    <col min="5" max="5" width="13.5703125" style="12" bestFit="1" customWidth="1"/>
    <col min="6" max="8" width="10.42578125" style="22" bestFit="1" customWidth="1"/>
    <col min="9" max="10" width="10.42578125" style="22" customWidth="1"/>
    <col min="11" max="16384" width="9.140625" style="12"/>
  </cols>
  <sheetData>
    <row r="1" spans="1:10" x14ac:dyDescent="0.25">
      <c r="A1" s="11" t="s">
        <v>0</v>
      </c>
      <c r="B1" s="11" t="s">
        <v>32</v>
      </c>
      <c r="C1" s="11" t="s">
        <v>1</v>
      </c>
      <c r="D1" s="11" t="s">
        <v>33</v>
      </c>
      <c r="E1" s="11" t="s">
        <v>2</v>
      </c>
      <c r="F1" s="17" t="s">
        <v>3</v>
      </c>
      <c r="G1" s="17" t="s">
        <v>4</v>
      </c>
      <c r="H1" s="17" t="s">
        <v>5</v>
      </c>
      <c r="I1" s="17" t="s">
        <v>34</v>
      </c>
      <c r="J1" s="17" t="s">
        <v>35</v>
      </c>
    </row>
    <row r="2" spans="1:10" x14ac:dyDescent="0.25">
      <c r="A2" s="13">
        <v>28</v>
      </c>
      <c r="B2" s="14">
        <v>3</v>
      </c>
      <c r="C2" s="14" t="s">
        <v>6</v>
      </c>
      <c r="D2" s="14" t="s">
        <v>7</v>
      </c>
      <c r="E2" s="13" t="s">
        <v>36</v>
      </c>
      <c r="F2" s="21">
        <v>5133.779955</v>
      </c>
      <c r="G2" s="21">
        <v>4567.2099319999998</v>
      </c>
      <c r="H2" s="21">
        <v>2164.5800439999998</v>
      </c>
      <c r="I2" s="21">
        <f>SUM(E2:H2)</f>
        <v>11865.569931</v>
      </c>
      <c r="J2" s="21">
        <f>I2/3</f>
        <v>3955.189977</v>
      </c>
    </row>
    <row r="3" spans="1:10" x14ac:dyDescent="0.25">
      <c r="A3" s="13">
        <v>2184</v>
      </c>
      <c r="B3" s="14">
        <v>3</v>
      </c>
      <c r="C3" s="14" t="s">
        <v>8</v>
      </c>
      <c r="D3" s="14" t="s">
        <v>9</v>
      </c>
      <c r="E3" s="13" t="s">
        <v>36</v>
      </c>
      <c r="F3" s="21">
        <v>11273.130009</v>
      </c>
      <c r="G3" s="21">
        <v>13217.000004</v>
      </c>
      <c r="H3" s="21">
        <v>12259.509998</v>
      </c>
      <c r="I3" s="21">
        <f t="shared" ref="I3:I16" si="0">SUM(E3:H3)</f>
        <v>36749.640011000003</v>
      </c>
      <c r="J3" s="21">
        <f t="shared" ref="J3:J16" si="1">I3/3</f>
        <v>12249.880003666667</v>
      </c>
    </row>
    <row r="4" spans="1:10" x14ac:dyDescent="0.25">
      <c r="A4" s="13">
        <v>110</v>
      </c>
      <c r="B4" s="14">
        <v>3</v>
      </c>
      <c r="C4" s="14" t="s">
        <v>12</v>
      </c>
      <c r="D4" s="14" t="s">
        <v>13</v>
      </c>
      <c r="E4" s="13" t="s">
        <v>36</v>
      </c>
      <c r="F4" s="21">
        <v>8375.5499920000002</v>
      </c>
      <c r="G4" s="21">
        <v>9433.0700080000006</v>
      </c>
      <c r="H4" s="21">
        <v>9949.7200030000004</v>
      </c>
      <c r="I4" s="21">
        <f t="shared" si="0"/>
        <v>27758.340003000005</v>
      </c>
      <c r="J4" s="21">
        <f t="shared" si="1"/>
        <v>9252.780001000001</v>
      </c>
    </row>
    <row r="5" spans="1:10" x14ac:dyDescent="0.25">
      <c r="A5" s="13">
        <v>2610</v>
      </c>
      <c r="B5" s="14">
        <v>3</v>
      </c>
      <c r="C5" s="14" t="s">
        <v>10</v>
      </c>
      <c r="D5" s="14" t="s">
        <v>11</v>
      </c>
      <c r="E5" s="13" t="s">
        <v>36</v>
      </c>
      <c r="F5" s="21">
        <v>2851.9599859999998</v>
      </c>
      <c r="G5" s="21">
        <v>2622.5699490000002</v>
      </c>
      <c r="H5" s="21">
        <v>3922.3199509999999</v>
      </c>
      <c r="I5" s="21">
        <f t="shared" si="0"/>
        <v>9396.849886</v>
      </c>
      <c r="J5" s="21">
        <f t="shared" si="1"/>
        <v>3132.2832953333332</v>
      </c>
    </row>
    <row r="6" spans="1:10" x14ac:dyDescent="0.25">
      <c r="A6" s="13">
        <v>116</v>
      </c>
      <c r="B6" s="14">
        <v>3</v>
      </c>
      <c r="C6" s="14" t="s">
        <v>14</v>
      </c>
      <c r="D6" s="14" t="s">
        <v>15</v>
      </c>
      <c r="E6" s="13" t="s">
        <v>36</v>
      </c>
      <c r="F6" s="21">
        <v>10482.110054999999</v>
      </c>
      <c r="G6" s="21">
        <v>10084.829965000001</v>
      </c>
      <c r="H6" s="21">
        <v>10939.810047000001</v>
      </c>
      <c r="I6" s="21">
        <f t="shared" si="0"/>
        <v>31506.750067000001</v>
      </c>
      <c r="J6" s="21">
        <f t="shared" si="1"/>
        <v>10502.250022333334</v>
      </c>
    </row>
    <row r="7" spans="1:10" x14ac:dyDescent="0.25">
      <c r="A7" s="13">
        <v>225</v>
      </c>
      <c r="B7" s="14">
        <v>3</v>
      </c>
      <c r="C7" s="14" t="s">
        <v>20</v>
      </c>
      <c r="D7" s="14" t="s">
        <v>21</v>
      </c>
      <c r="E7" s="13" t="s">
        <v>36</v>
      </c>
      <c r="F7" s="21">
        <v>927.509998</v>
      </c>
      <c r="G7" s="21">
        <v>498.629997</v>
      </c>
      <c r="H7" s="21">
        <v>618.65999599999998</v>
      </c>
      <c r="I7" s="21">
        <f t="shared" si="0"/>
        <v>2044.7999909999999</v>
      </c>
      <c r="J7" s="21">
        <f t="shared" si="1"/>
        <v>681.59999699999992</v>
      </c>
    </row>
    <row r="8" spans="1:10" x14ac:dyDescent="0.25">
      <c r="A8" s="13">
        <v>2266</v>
      </c>
      <c r="B8" s="14">
        <v>3</v>
      </c>
      <c r="C8" s="14" t="s">
        <v>18</v>
      </c>
      <c r="D8" s="14" t="s">
        <v>19</v>
      </c>
      <c r="E8" s="13" t="s">
        <v>36</v>
      </c>
      <c r="F8" s="21">
        <v>6931.8900009999998</v>
      </c>
      <c r="G8" s="21">
        <v>4663.9399860000003</v>
      </c>
      <c r="H8" s="21">
        <v>3717.0500040000002</v>
      </c>
      <c r="I8" s="21">
        <f t="shared" si="0"/>
        <v>15312.879991000002</v>
      </c>
      <c r="J8" s="21">
        <f t="shared" si="1"/>
        <v>5104.2933303333339</v>
      </c>
    </row>
    <row r="9" spans="1:10" x14ac:dyDescent="0.25">
      <c r="A9" s="13">
        <v>3145</v>
      </c>
      <c r="B9" s="14">
        <v>3</v>
      </c>
      <c r="C9" s="14" t="s">
        <v>16</v>
      </c>
      <c r="D9" s="14" t="s">
        <v>17</v>
      </c>
      <c r="E9" s="13" t="s">
        <v>36</v>
      </c>
      <c r="F9" s="21">
        <v>2450</v>
      </c>
      <c r="G9" s="21">
        <v>1500.73</v>
      </c>
      <c r="H9" s="21">
        <v>263</v>
      </c>
      <c r="I9" s="21">
        <f t="shared" si="0"/>
        <v>4213.7299999999996</v>
      </c>
      <c r="J9" s="21">
        <f t="shared" si="1"/>
        <v>1404.5766666666666</v>
      </c>
    </row>
    <row r="10" spans="1:10" x14ac:dyDescent="0.25">
      <c r="A10" s="13">
        <v>166</v>
      </c>
      <c r="B10" s="14">
        <v>3</v>
      </c>
      <c r="C10" s="14" t="s">
        <v>24</v>
      </c>
      <c r="D10" s="14" t="s">
        <v>25</v>
      </c>
      <c r="E10" s="13" t="s">
        <v>36</v>
      </c>
      <c r="F10" s="21">
        <v>3928.7001540000001</v>
      </c>
      <c r="G10" s="21">
        <v>4822.8200720000004</v>
      </c>
      <c r="H10" s="21">
        <v>4018.8000109999998</v>
      </c>
      <c r="I10" s="21">
        <f t="shared" si="0"/>
        <v>12770.320237</v>
      </c>
      <c r="J10" s="21">
        <f t="shared" si="1"/>
        <v>4256.773412333333</v>
      </c>
    </row>
    <row r="11" spans="1:10" x14ac:dyDescent="0.25">
      <c r="A11" s="13">
        <v>3524</v>
      </c>
      <c r="B11" s="14">
        <v>3</v>
      </c>
      <c r="C11" s="14" t="s">
        <v>37</v>
      </c>
      <c r="D11" s="14" t="s">
        <v>38</v>
      </c>
      <c r="E11" s="13" t="s">
        <v>36</v>
      </c>
      <c r="F11" s="21">
        <v>128.58000000000001</v>
      </c>
      <c r="G11" s="21">
        <v>90.91</v>
      </c>
      <c r="H11" s="21">
        <v>50.93</v>
      </c>
      <c r="I11" s="21">
        <f t="shared" si="0"/>
        <v>270.42</v>
      </c>
      <c r="J11" s="21">
        <f t="shared" si="1"/>
        <v>90.14</v>
      </c>
    </row>
    <row r="12" spans="1:10" x14ac:dyDescent="0.25">
      <c r="A12" s="13">
        <v>1037</v>
      </c>
      <c r="B12" s="14">
        <v>3</v>
      </c>
      <c r="C12" s="14" t="s">
        <v>22</v>
      </c>
      <c r="D12" s="14" t="s">
        <v>23</v>
      </c>
      <c r="E12" s="13" t="s">
        <v>36</v>
      </c>
      <c r="F12" s="21">
        <v>7018.1999839999999</v>
      </c>
      <c r="G12" s="21">
        <v>5712.779998</v>
      </c>
      <c r="H12" s="21">
        <v>3983.1400119999998</v>
      </c>
      <c r="I12" s="21">
        <f t="shared" si="0"/>
        <v>16714.119994000001</v>
      </c>
      <c r="J12" s="21">
        <f t="shared" si="1"/>
        <v>5571.3733313333332</v>
      </c>
    </row>
    <row r="13" spans="1:10" x14ac:dyDescent="0.25">
      <c r="A13" s="13">
        <v>152</v>
      </c>
      <c r="B13" s="14">
        <v>3</v>
      </c>
      <c r="C13" s="14" t="s">
        <v>26</v>
      </c>
      <c r="D13" s="14" t="s">
        <v>27</v>
      </c>
      <c r="E13" s="13" t="s">
        <v>36</v>
      </c>
      <c r="F13" s="21">
        <v>16139.749973</v>
      </c>
      <c r="G13" s="21">
        <v>13127.15993</v>
      </c>
      <c r="H13" s="21">
        <v>10377.799988999999</v>
      </c>
      <c r="I13" s="21">
        <f t="shared" si="0"/>
        <v>39644.709891999999</v>
      </c>
      <c r="J13" s="21">
        <f t="shared" si="1"/>
        <v>13214.903297333332</v>
      </c>
    </row>
    <row r="14" spans="1:10" x14ac:dyDescent="0.25">
      <c r="A14" s="13">
        <v>3590</v>
      </c>
      <c r="B14" s="14">
        <v>3</v>
      </c>
      <c r="C14" s="14" t="s">
        <v>39</v>
      </c>
      <c r="D14" s="14" t="s">
        <v>40</v>
      </c>
      <c r="E14" s="13" t="s">
        <v>36</v>
      </c>
      <c r="F14" s="21">
        <v>48.870001999999999</v>
      </c>
      <c r="G14" s="21">
        <v>1435.0399500000001</v>
      </c>
      <c r="H14" s="21">
        <v>3854.109946</v>
      </c>
      <c r="I14" s="21">
        <f t="shared" si="0"/>
        <v>5338.0198980000005</v>
      </c>
      <c r="J14" s="21">
        <f t="shared" si="1"/>
        <v>1779.3399660000002</v>
      </c>
    </row>
    <row r="15" spans="1:10" x14ac:dyDescent="0.25">
      <c r="A15" s="13">
        <v>1946</v>
      </c>
      <c r="B15" s="14">
        <v>3</v>
      </c>
      <c r="C15" s="14" t="s">
        <v>28</v>
      </c>
      <c r="D15" s="14" t="s">
        <v>29</v>
      </c>
      <c r="E15" s="13" t="s">
        <v>36</v>
      </c>
      <c r="F15" s="21">
        <v>12623.310181000001</v>
      </c>
      <c r="G15" s="21">
        <v>8090.9100630000003</v>
      </c>
      <c r="H15" s="21">
        <v>11229.670038</v>
      </c>
      <c r="I15" s="21">
        <f t="shared" si="0"/>
        <v>31943.890282</v>
      </c>
      <c r="J15" s="21">
        <f t="shared" si="1"/>
        <v>10647.963427333334</v>
      </c>
    </row>
    <row r="16" spans="1:10" x14ac:dyDescent="0.25">
      <c r="A16" s="13">
        <v>3553</v>
      </c>
      <c r="B16" s="14">
        <v>3</v>
      </c>
      <c r="C16" s="14" t="s">
        <v>30</v>
      </c>
      <c r="D16" s="14" t="s">
        <v>31</v>
      </c>
      <c r="E16" s="13" t="s">
        <v>36</v>
      </c>
      <c r="F16" s="21">
        <v>449.999999</v>
      </c>
      <c r="G16" s="21">
        <v>247.68</v>
      </c>
      <c r="H16" s="21">
        <v>233.95000200000001</v>
      </c>
      <c r="I16" s="21">
        <f t="shared" si="0"/>
        <v>931.63000099999999</v>
      </c>
      <c r="J16" s="21">
        <f t="shared" si="1"/>
        <v>310.54333366666668</v>
      </c>
    </row>
    <row r="17" spans="1:10" x14ac:dyDescent="0.25">
      <c r="A17" s="15"/>
      <c r="B17" s="16"/>
      <c r="C17" s="16"/>
      <c r="D17" s="16"/>
      <c r="E17" s="16"/>
      <c r="F17" s="19"/>
      <c r="G17" s="19"/>
      <c r="H17" s="19"/>
      <c r="I17" s="19"/>
      <c r="J17" s="1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C24" sqref="C24"/>
    </sheetView>
  </sheetViews>
  <sheetFormatPr defaultRowHeight="15" x14ac:dyDescent="0.25"/>
  <cols>
    <col min="3" max="3" width="51" bestFit="1" customWidth="1"/>
    <col min="4" max="4" width="16.140625" bestFit="1" customWidth="1"/>
    <col min="6" max="6" width="10.42578125" style="23" bestFit="1" customWidth="1"/>
    <col min="7" max="10" width="11.28515625" style="23" bestFit="1" customWidth="1"/>
  </cols>
  <sheetData>
    <row r="1" spans="1:10" x14ac:dyDescent="0.25">
      <c r="A1" s="24" t="s">
        <v>0</v>
      </c>
      <c r="B1" s="24" t="s">
        <v>32</v>
      </c>
      <c r="C1" s="24" t="s">
        <v>1</v>
      </c>
      <c r="D1" s="24" t="s">
        <v>33</v>
      </c>
      <c r="E1" s="24" t="s">
        <v>2</v>
      </c>
      <c r="F1" s="17" t="s">
        <v>3</v>
      </c>
      <c r="G1" s="17" t="s">
        <v>4</v>
      </c>
      <c r="H1" s="17" t="s">
        <v>5</v>
      </c>
      <c r="I1" s="17" t="s">
        <v>47</v>
      </c>
      <c r="J1" s="17" t="s">
        <v>35</v>
      </c>
    </row>
    <row r="2" spans="1:10" x14ac:dyDescent="0.25">
      <c r="A2" s="25">
        <v>28</v>
      </c>
      <c r="B2" s="26">
        <v>4</v>
      </c>
      <c r="C2" s="26" t="s">
        <v>6</v>
      </c>
      <c r="D2" s="26" t="s">
        <v>7</v>
      </c>
      <c r="E2" s="25">
        <v>1307</v>
      </c>
      <c r="F2" s="18">
        <v>83910.31</v>
      </c>
      <c r="G2" s="18">
        <v>85152.75</v>
      </c>
      <c r="H2" s="18">
        <v>80827.75</v>
      </c>
      <c r="I2" s="18">
        <f>SUM(E2:H2)</f>
        <v>251197.81</v>
      </c>
      <c r="J2" s="18">
        <f>I2/3</f>
        <v>83732.603333333333</v>
      </c>
    </row>
    <row r="3" spans="1:10" x14ac:dyDescent="0.25">
      <c r="A3" s="25">
        <v>2184</v>
      </c>
      <c r="B3" s="26">
        <v>4</v>
      </c>
      <c r="C3" s="26" t="s">
        <v>8</v>
      </c>
      <c r="D3" s="26" t="s">
        <v>9</v>
      </c>
      <c r="E3" s="25">
        <v>1307</v>
      </c>
      <c r="F3" s="18">
        <v>59998.6</v>
      </c>
      <c r="G3" s="18">
        <v>202897.27</v>
      </c>
      <c r="H3" s="18">
        <v>140346.16</v>
      </c>
      <c r="I3" s="18">
        <f t="shared" ref="I3:I17" si="0">SUM(E3:H3)</f>
        <v>404549.03</v>
      </c>
      <c r="J3" s="18">
        <f t="shared" ref="J3:J17" si="1">I3/3</f>
        <v>134849.67666666667</v>
      </c>
    </row>
    <row r="4" spans="1:10" x14ac:dyDescent="0.25">
      <c r="A4" s="25">
        <v>110</v>
      </c>
      <c r="B4" s="26">
        <v>4</v>
      </c>
      <c r="C4" s="26" t="s">
        <v>12</v>
      </c>
      <c r="D4" s="26" t="s">
        <v>13</v>
      </c>
      <c r="E4" s="25">
        <v>1307</v>
      </c>
      <c r="F4" s="18">
        <v>76703.37</v>
      </c>
      <c r="G4" s="18">
        <v>119926.39</v>
      </c>
      <c r="H4" s="18">
        <v>130797.95</v>
      </c>
      <c r="I4" s="18">
        <f t="shared" si="0"/>
        <v>328734.71000000002</v>
      </c>
      <c r="J4" s="18">
        <f t="shared" si="1"/>
        <v>109578.23666666668</v>
      </c>
    </row>
    <row r="5" spans="1:10" x14ac:dyDescent="0.25">
      <c r="A5" s="25">
        <v>2610</v>
      </c>
      <c r="B5" s="26">
        <v>4</v>
      </c>
      <c r="C5" s="26" t="s">
        <v>10</v>
      </c>
      <c r="D5" s="26" t="s">
        <v>11</v>
      </c>
      <c r="E5" s="25">
        <v>1307</v>
      </c>
      <c r="F5" s="18">
        <v>62397.82</v>
      </c>
      <c r="G5" s="18">
        <v>109412.27</v>
      </c>
      <c r="H5" s="18">
        <v>74580.44</v>
      </c>
      <c r="I5" s="18">
        <f t="shared" si="0"/>
        <v>247697.53</v>
      </c>
      <c r="J5" s="18">
        <f t="shared" si="1"/>
        <v>82565.843333333338</v>
      </c>
    </row>
    <row r="6" spans="1:10" x14ac:dyDescent="0.25">
      <c r="A6" s="25">
        <v>3809</v>
      </c>
      <c r="B6" s="26">
        <v>4</v>
      </c>
      <c r="C6" s="26" t="s">
        <v>41</v>
      </c>
      <c r="D6" s="26" t="s">
        <v>42</v>
      </c>
      <c r="E6" s="25">
        <v>1307</v>
      </c>
      <c r="F6" s="18">
        <v>31030.55</v>
      </c>
      <c r="G6" s="18">
        <v>55504.1</v>
      </c>
      <c r="H6" s="18">
        <v>36084.980000000003</v>
      </c>
      <c r="I6" s="18">
        <f t="shared" si="0"/>
        <v>123926.63</v>
      </c>
      <c r="J6" s="18">
        <f t="shared" si="1"/>
        <v>41308.876666666671</v>
      </c>
    </row>
    <row r="7" spans="1:10" x14ac:dyDescent="0.25">
      <c r="A7" s="25">
        <v>116</v>
      </c>
      <c r="B7" s="26">
        <v>4</v>
      </c>
      <c r="C7" s="26" t="s">
        <v>14</v>
      </c>
      <c r="D7" s="26" t="s">
        <v>15</v>
      </c>
      <c r="E7" s="25">
        <v>1307</v>
      </c>
      <c r="F7" s="18">
        <v>26837.21</v>
      </c>
      <c r="G7" s="18">
        <v>14476.6</v>
      </c>
      <c r="H7" s="18">
        <v>56769.08</v>
      </c>
      <c r="I7" s="18">
        <f t="shared" si="0"/>
        <v>99389.89</v>
      </c>
      <c r="J7" s="18">
        <f t="shared" si="1"/>
        <v>33129.963333333333</v>
      </c>
    </row>
    <row r="8" spans="1:10" x14ac:dyDescent="0.25">
      <c r="A8" s="25">
        <v>2483</v>
      </c>
      <c r="B8" s="26">
        <v>4</v>
      </c>
      <c r="C8" s="26" t="s">
        <v>43</v>
      </c>
      <c r="D8" s="26" t="s">
        <v>44</v>
      </c>
      <c r="E8" s="25">
        <v>1307</v>
      </c>
      <c r="F8" s="18">
        <v>172.67</v>
      </c>
      <c r="G8" s="18">
        <v>4028.24</v>
      </c>
      <c r="H8" s="18">
        <v>8815.4699999999993</v>
      </c>
      <c r="I8" s="18">
        <f t="shared" si="0"/>
        <v>14323.38</v>
      </c>
      <c r="J8" s="18">
        <f t="shared" si="1"/>
        <v>4774.46</v>
      </c>
    </row>
    <row r="9" spans="1:10" x14ac:dyDescent="0.25">
      <c r="A9" s="25">
        <v>3772</v>
      </c>
      <c r="B9" s="26">
        <v>4</v>
      </c>
      <c r="C9" s="26" t="s">
        <v>45</v>
      </c>
      <c r="D9" s="26" t="s">
        <v>46</v>
      </c>
      <c r="E9" s="25">
        <v>1307</v>
      </c>
      <c r="F9" s="18">
        <v>3257.14</v>
      </c>
      <c r="G9" s="18">
        <v>8833.2000000000007</v>
      </c>
      <c r="H9" s="18">
        <v>3942.41</v>
      </c>
      <c r="I9" s="18">
        <f t="shared" si="0"/>
        <v>17339.75</v>
      </c>
      <c r="J9" s="18">
        <f t="shared" si="1"/>
        <v>5779.916666666667</v>
      </c>
    </row>
    <row r="10" spans="1:10" x14ac:dyDescent="0.25">
      <c r="A10" s="25">
        <v>2266</v>
      </c>
      <c r="B10" s="26">
        <v>4</v>
      </c>
      <c r="C10" s="26" t="s">
        <v>18</v>
      </c>
      <c r="D10" s="26" t="s">
        <v>19</v>
      </c>
      <c r="E10" s="25">
        <v>1307</v>
      </c>
      <c r="F10" s="18">
        <v>25892.37</v>
      </c>
      <c r="G10" s="18">
        <v>23284.33</v>
      </c>
      <c r="H10" s="18">
        <v>19808.38</v>
      </c>
      <c r="I10" s="18">
        <f t="shared" si="0"/>
        <v>70292.08</v>
      </c>
      <c r="J10" s="18">
        <f t="shared" si="1"/>
        <v>23430.693333333333</v>
      </c>
    </row>
    <row r="11" spans="1:10" x14ac:dyDescent="0.25">
      <c r="A11" s="25">
        <v>225</v>
      </c>
      <c r="B11" s="26">
        <v>4</v>
      </c>
      <c r="C11" s="26" t="s">
        <v>20</v>
      </c>
      <c r="D11" s="26" t="s">
        <v>21</v>
      </c>
      <c r="E11" s="25">
        <v>1307</v>
      </c>
      <c r="F11" s="18">
        <v>2090.5300000000002</v>
      </c>
      <c r="G11" s="18">
        <v>2515.6799999999998</v>
      </c>
      <c r="H11" s="18">
        <v>832.17</v>
      </c>
      <c r="I11" s="18">
        <f t="shared" si="0"/>
        <v>6745.38</v>
      </c>
      <c r="J11" s="18">
        <f t="shared" si="1"/>
        <v>2248.46</v>
      </c>
    </row>
    <row r="12" spans="1:10" x14ac:dyDescent="0.25">
      <c r="A12" s="25">
        <v>166</v>
      </c>
      <c r="B12" s="26">
        <v>4</v>
      </c>
      <c r="C12" s="26" t="s">
        <v>24</v>
      </c>
      <c r="D12" s="26" t="s">
        <v>25</v>
      </c>
      <c r="E12" s="25">
        <v>1307</v>
      </c>
      <c r="F12" s="18">
        <v>11356.31</v>
      </c>
      <c r="G12" s="18">
        <v>20526.66</v>
      </c>
      <c r="H12" s="18">
        <v>39015.730000000003</v>
      </c>
      <c r="I12" s="18">
        <f t="shared" si="0"/>
        <v>72205.700000000012</v>
      </c>
      <c r="J12" s="18">
        <f t="shared" si="1"/>
        <v>24068.566666666669</v>
      </c>
    </row>
    <row r="13" spans="1:10" x14ac:dyDescent="0.25">
      <c r="A13" s="25">
        <v>152</v>
      </c>
      <c r="B13" s="26">
        <v>4</v>
      </c>
      <c r="C13" s="26" t="s">
        <v>26</v>
      </c>
      <c r="D13" s="26" t="s">
        <v>27</v>
      </c>
      <c r="E13" s="25">
        <v>1307</v>
      </c>
      <c r="F13" s="18">
        <v>69884.86</v>
      </c>
      <c r="G13" s="18">
        <v>156129.39000000001</v>
      </c>
      <c r="H13" s="18">
        <v>133396.54999999999</v>
      </c>
      <c r="I13" s="18">
        <f t="shared" si="0"/>
        <v>360717.8</v>
      </c>
      <c r="J13" s="18">
        <f t="shared" si="1"/>
        <v>120239.26666666666</v>
      </c>
    </row>
    <row r="14" spans="1:10" x14ac:dyDescent="0.25">
      <c r="A14" s="25">
        <v>1037</v>
      </c>
      <c r="B14" s="26">
        <v>4</v>
      </c>
      <c r="C14" s="26" t="s">
        <v>22</v>
      </c>
      <c r="D14" s="26" t="s">
        <v>23</v>
      </c>
      <c r="E14" s="25">
        <v>1307</v>
      </c>
      <c r="F14" s="18">
        <v>20333.919999999998</v>
      </c>
      <c r="G14" s="18">
        <v>66299.39</v>
      </c>
      <c r="H14" s="18">
        <v>56588.19</v>
      </c>
      <c r="I14" s="18">
        <f t="shared" si="0"/>
        <v>144528.5</v>
      </c>
      <c r="J14" s="18">
        <f t="shared" si="1"/>
        <v>48176.166666666664</v>
      </c>
    </row>
    <row r="15" spans="1:10" x14ac:dyDescent="0.25">
      <c r="A15" s="25">
        <v>3524</v>
      </c>
      <c r="B15" s="26">
        <v>4</v>
      </c>
      <c r="C15" s="26" t="s">
        <v>37</v>
      </c>
      <c r="D15" s="26" t="s">
        <v>38</v>
      </c>
      <c r="E15" s="25">
        <v>1307</v>
      </c>
      <c r="F15" s="18">
        <v>13652.14</v>
      </c>
      <c r="G15" s="18">
        <v>23274.22</v>
      </c>
      <c r="H15" s="18">
        <v>14958.85</v>
      </c>
      <c r="I15" s="18">
        <f t="shared" si="0"/>
        <v>53192.21</v>
      </c>
      <c r="J15" s="18">
        <f t="shared" si="1"/>
        <v>17730.736666666668</v>
      </c>
    </row>
    <row r="16" spans="1:10" x14ac:dyDescent="0.25">
      <c r="A16" s="25">
        <v>3590</v>
      </c>
      <c r="B16" s="26">
        <v>4</v>
      </c>
      <c r="C16" s="26" t="s">
        <v>39</v>
      </c>
      <c r="D16" s="26" t="s">
        <v>40</v>
      </c>
      <c r="E16" s="25">
        <v>1307</v>
      </c>
      <c r="F16" s="18">
        <v>29734.28</v>
      </c>
      <c r="G16" s="18">
        <v>41099.620000000003</v>
      </c>
      <c r="H16" s="18">
        <v>15086.16</v>
      </c>
      <c r="I16" s="18">
        <f t="shared" si="0"/>
        <v>87227.06</v>
      </c>
      <c r="J16" s="18">
        <f t="shared" si="1"/>
        <v>29075.686666666665</v>
      </c>
    </row>
    <row r="17" spans="1:10" x14ac:dyDescent="0.25">
      <c r="A17" s="25">
        <v>1946</v>
      </c>
      <c r="B17" s="26">
        <v>4</v>
      </c>
      <c r="C17" s="26" t="s">
        <v>28</v>
      </c>
      <c r="D17" s="26" t="s">
        <v>29</v>
      </c>
      <c r="E17" s="25">
        <v>1307</v>
      </c>
      <c r="F17" s="18">
        <v>45927.71</v>
      </c>
      <c r="G17" s="18">
        <v>103891.83</v>
      </c>
      <c r="H17" s="18">
        <v>83894.11</v>
      </c>
      <c r="I17" s="18">
        <f t="shared" si="0"/>
        <v>235020.65000000002</v>
      </c>
      <c r="J17" s="18">
        <f t="shared" si="1"/>
        <v>78340.216666666674</v>
      </c>
    </row>
    <row r="18" spans="1:10" x14ac:dyDescent="0.25">
      <c r="A18" s="27"/>
      <c r="B18" s="28"/>
      <c r="C18" s="28"/>
      <c r="D18" s="28"/>
      <c r="E18" s="28"/>
      <c r="F18" s="19"/>
      <c r="G18" s="19"/>
      <c r="H18" s="19"/>
      <c r="I18" s="19"/>
      <c r="J18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FILIAL 1</vt:lpstr>
      <vt:lpstr>FILIAL 2</vt:lpstr>
      <vt:lpstr>FILIAL 3</vt:lpstr>
      <vt:lpstr>FILIAL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Jayane Agata Silveira da Silva</cp:lastModifiedBy>
  <dcterms:modified xsi:type="dcterms:W3CDTF">2026-05-18T17:28:54Z</dcterms:modified>
</cp:coreProperties>
</file>